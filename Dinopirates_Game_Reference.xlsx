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view" sheetId="1" state="visible" r:id="rId3"/>
    <sheet name="🧑 Player Stats" sheetId="2" state="visible" r:id="rId4"/>
    <sheet name="🎒 Items &amp; Abilities" sheetId="3" state="visible" r:id="rId5"/>
    <sheet name="👾 Enemy System" sheetId="4" state="visible" r:id="rId6"/>
    <sheet name="💃 Dance Battle" sheetId="5" state="visible" r:id="rId7"/>
    <sheet name="🧠 Sanity &amp; Battery" sheetId="6" state="visible" r:id="rId8"/>
    <sheet name="🏅 Achievements" sheetId="7" state="visible" r:id="rId9"/>
    <sheet name="🗺️ Levels &amp; Room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<sst xmlns="http://schemas.openxmlformats.org/spreadsheetml/2006/main" count="725" uniqueCount="546">
  <si>
    <t xml:space="preserve">🦕  DINOPIRATES  ☠️  —  GAME DESIGN REFERENCE</t>
  </si>
  <si>
    <t xml:space="preserve">Playdate Console  |  Lua / Noble Engine  |  Top-Down Exploration + Rhythm Battle</t>
  </si>
  <si>
    <t xml:space="preserve">🎮  CORE MECHANICS</t>
  </si>
  <si>
    <t xml:space="preserve">🎬  SCENES / SCREENS</t>
  </si>
  <si>
    <t xml:space="preserve">Category</t>
  </si>
  <si>
    <t xml:space="preserve">Description</t>
  </si>
  <si>
    <t xml:space="preserve">Scene</t>
  </si>
  <si>
    <t xml:space="preserve">Purpose</t>
  </si>
  <si>
    <t xml:space="preserve">Genre</t>
  </si>
  <si>
    <t xml:space="preserve">Top-down exploration / Rhythm battle hybrid</t>
  </si>
  <si>
    <t xml:space="preserve">TitleScene</t>
  </si>
  <si>
    <t xml:space="preserve">Main menu — start game, settings, credits</t>
  </si>
  <si>
    <t xml:space="preserve">Platform</t>
  </si>
  <si>
    <t xml:space="preserve">Playdate (Panic Inc.) — monochrome 400×240 display</t>
  </si>
  <si>
    <t xml:space="preserve">MazeScene</t>
  </si>
  <si>
    <t xml:space="preserve">Primary gameplay — room exploration, NPC interaction</t>
  </si>
  <si>
    <t xml:space="preserve">Engine</t>
  </si>
  <si>
    <t xml:space="preserve">Noble Engine (Lua framework for Playdate SDK)</t>
  </si>
  <si>
    <t xml:space="preserve">DanceScene</t>
  </si>
  <si>
    <t xml:space="preserve">Rhythm battle — triggered by enemy contact</t>
  </si>
  <si>
    <t xml:space="preserve">Level Editor</t>
  </si>
  <si>
    <t xml:space="preserve">LDtk — map exported as Lua data tables</t>
  </si>
  <si>
    <t xml:space="preserve">DeadScene</t>
  </si>
  <si>
    <t xml:space="preserve">Game over screen — shown on dance battle loss</t>
  </si>
  <si>
    <t xml:space="preserve">Save System</t>
  </si>
  <si>
    <t xml:space="preserve">Custom SaveSystem.lua with persistent game data</t>
  </si>
  <si>
    <t xml:space="preserve">Floors.lua</t>
  </si>
  <si>
    <t xml:space="preserve">Floor/level management — orchestrates room loading</t>
  </si>
  <si>
    <t xml:space="preserve">Core Loop</t>
  </si>
  <si>
    <t xml:space="preserve">Explore maze → encounter enemy → dance battle → continue</t>
  </si>
  <si>
    <t xml:space="preserve">TestScene</t>
  </si>
  <si>
    <t xml:space="preserve">Developer sandbox — used during QA</t>
  </si>
  <si>
    <t xml:space="preserve">Player View</t>
  </si>
  <si>
    <t xml:space="preserve">Isometric-style top-down with sprite animations</t>
  </si>
  <si>
    <t xml:space="preserve">Music / SFX</t>
  </si>
  <si>
    <t xml:space="preserve">Playdate SDK audio + rhythm-synced battle beats</t>
  </si>
  <si>
    <t xml:space="preserve">📊  QUICK STATS AT A GLANCE</t>
  </si>
  <si>
    <t xml:space="preserve">Stat</t>
  </si>
  <si>
    <t xml:space="preserve">Value</t>
  </si>
  <si>
    <t xml:space="preserve">Max HP</t>
  </si>
  <si>
    <t xml:space="preserve">10</t>
  </si>
  <si>
    <t xml:space="preserve">Total Steps Goal</t>
  </si>
  <si>
    <t xml:space="preserve">1 000</t>
  </si>
  <si>
    <t xml:space="preserve">Max Battery</t>
  </si>
  <si>
    <t xml:space="preserve">100</t>
  </si>
  <si>
    <t xml:space="preserve">Player Speed</t>
  </si>
  <si>
    <t xml:space="preserve">1.5 px/f</t>
  </si>
  <si>
    <t xml:space="preserve">Max Sanity</t>
  </si>
  <si>
    <t xml:space="preserve">Enemy Power Max</t>
  </si>
  <si>
    <t xml:space="preserve">20</t>
  </si>
  <si>
    <t xml:space="preserve">Starting Calories</t>
  </si>
  <si>
    <t xml:space="preserve">Achievements</t>
  </si>
  <si>
    <t xml:space="preserve">5</t>
  </si>
  <si>
    <t xml:space="preserve">🧑  PLAYER DATA — ATTRIBUTES &amp; STATE</t>
  </si>
  <si>
    <t xml:space="preserve">Attribute</t>
  </si>
  <si>
    <t xml:space="preserve">Default Value</t>
  </si>
  <si>
    <t xml:space="preserve">Range / Type</t>
  </si>
  <si>
    <t xml:space="preserve">Notes</t>
  </si>
  <si>
    <t xml:space="preserve">x / y</t>
  </si>
  <si>
    <t xml:space="preserve">200 / 200</t>
  </si>
  <si>
    <t xml:space="preserve">0 – screen size</t>
  </si>
  <si>
    <t xml:space="preserve">Player spawn position in pixels</t>
  </si>
  <si>
    <t xml:space="preserve">speed</t>
  </si>
  <si>
    <t xml:space="preserve">1.5</t>
  </si>
  <si>
    <t xml:space="preserve">Float &gt; 0</t>
  </si>
  <si>
    <t xml:space="preserve">Pixels moved per frame direction input</t>
  </si>
  <si>
    <t xml:space="preserve">healthPoints</t>
  </si>
  <si>
    <t xml:space="preserve">0 – 10</t>
  </si>
  <si>
    <t xml:space="preserve">Lose all HP → trigger DeadScene or dance loss</t>
  </si>
  <si>
    <t xml:space="preserve">danceThresholdHP</t>
  </si>
  <si>
    <t xml:space="preserve">1</t>
  </si>
  <si>
    <t xml:space="preserve">Integer</t>
  </si>
  <si>
    <t xml:space="preserve">HP floor that triggers dance battle eligibility</t>
  </si>
  <si>
    <t xml:space="preserve">healedHP</t>
  </si>
  <si>
    <t xml:space="preserve">2</t>
  </si>
  <si>
    <t xml:space="preserve">HP recovered on winning a dance battle</t>
  </si>
  <si>
    <t xml:space="preserve">battery</t>
  </si>
  <si>
    <t xml:space="preserve">0 – 100</t>
  </si>
  <si>
    <t xml:space="preserve">Powers lamp &amp; sonar; depletes in darkness (0.5/frame)</t>
  </si>
  <si>
    <t xml:space="preserve">sanity</t>
  </si>
  <si>
    <t xml:space="preserve">Decreases in dark + low battery; recovered at battery&gt;50</t>
  </si>
  <si>
    <t xml:space="preserve">calories</t>
  </si>
  <si>
    <t xml:space="preserve">0 – 500 (approx)</t>
  </si>
  <si>
    <t xml:space="preserve">Increased by +60 on dance win; used in difficulty formula</t>
  </si>
  <si>
    <t xml:space="preserve">steps</t>
  </si>
  <si>
    <t xml:space="preserve">0</t>
  </si>
  <si>
    <t xml:space="preserve">0 – 1000</t>
  </si>
  <si>
    <t xml:space="preserve">Pedometer tracking total player movement</t>
  </si>
  <si>
    <t xml:space="preserve">totalSteps</t>
  </si>
  <si>
    <t xml:space="preserve">1000</t>
  </si>
  <si>
    <t xml:space="preserve">Goal for steps achievement / progression trigger</t>
  </si>
  <si>
    <t xml:space="preserve">sanityCounter</t>
  </si>
  <si>
    <t xml:space="preserve">0 – 100+</t>
  </si>
  <si>
    <t xml:space="preserve">Times sanity has reached zero; drives achievement checks</t>
  </si>
  <si>
    <t xml:space="preserve">mapPercent</t>
  </si>
  <si>
    <t xml:space="preserve">0 – 100 %</t>
  </si>
  <si>
    <t xml:space="preserve">Percentage of rooms/map explored</t>
  </si>
  <si>
    <t xml:space="preserve">keys</t>
  </si>
  <si>
    <t xml:space="preserve">{}</t>
  </si>
  <si>
    <t xml:space="preserve">Table {[n]=true}</t>
  </si>
  <si>
    <t xml:space="preserve">Collected key numbers; used to open locked doors</t>
  </si>
  <si>
    <t xml:space="preserve">canDance</t>
  </si>
  <si>
    <t xml:space="preserve">false</t>
  </si>
  <si>
    <t xml:space="preserve">Boolean</t>
  </si>
  <si>
    <t xml:space="preserve">Flag set when dance battle is allowed</t>
  </si>
  <si>
    <t xml:space="preserve">readyToShrink</t>
  </si>
  <si>
    <t xml:space="preserve">Queued state change to tiny form</t>
  </si>
  <si>
    <t xml:space="preserve">isTiny</t>
  </si>
  <si>
    <t xml:space="preserve">Player is in small form (different sprite set)</t>
  </si>
  <si>
    <t xml:space="preserve">isBig</t>
  </si>
  <si>
    <t xml:space="preserve">Player is in large form</t>
  </si>
  <si>
    <t xml:space="preserve">playerSize</t>
  </si>
  <si>
    <t xml:space="preserve">Logical size value (collision box scaling)</t>
  </si>
  <si>
    <t xml:space="preserve">actualPlayerSize</t>
  </si>
  <si>
    <t xml:space="preserve">Rendered sprite size</t>
  </si>
  <si>
    <t xml:space="preserve">activeItem</t>
  </si>
  <si>
    <t xml:space="preserve">0, 1, 2, 3</t>
  </si>
  <si>
    <t xml:space="preserve">0=none, 1=Lamp, 2=Boots, 3=Plunger</t>
  </si>
  <si>
    <t xml:space="preserve">sonarActive</t>
  </si>
  <si>
    <t xml:space="preserve">Whether the sonar FX pulse is running</t>
  </si>
  <si>
    <t xml:space="preserve">storyCounter</t>
  </si>
  <si>
    <t xml:space="preserve">Tracks narrative / dialog progression</t>
  </si>
  <si>
    <t xml:space="preserve">isActive</t>
  </si>
  <si>
    <t xml:space="preserve">NPC moves while player charges battery</t>
  </si>
  <si>
    <t xml:space="preserve">isTalking</t>
  </si>
  <si>
    <t xml:space="preserve">Player is in dialog — movement blocked</t>
  </si>
  <si>
    <t xml:space="preserve">isCutscene</t>
  </si>
  <si>
    <t xml:space="preserve">Cutscene playing — input blocked</t>
  </si>
  <si>
    <t xml:space="preserve">isFocused</t>
  </si>
  <si>
    <t xml:space="preserve">Player focuses — enables sonar visibility of enemies</t>
  </si>
  <si>
    <t xml:space="preserve">isCharging</t>
  </si>
  <si>
    <t xml:space="preserve">Player is charging battery at station</t>
  </si>
  <si>
    <t xml:space="preserve">isEquiping</t>
  </si>
  <si>
    <t xml:space="preserve">Item equip menu is open</t>
  </si>
  <si>
    <t xml:space="preserve">floor</t>
  </si>
  <si>
    <t xml:space="preserve">Current floor/dungeon level</t>
  </si>
  <si>
    <t xml:space="preserve">room</t>
  </si>
  <si>
    <t xml:space="preserve">Current room within floor</t>
  </si>
  <si>
    <t xml:space="preserve">isGaming</t>
  </si>
  <si>
    <t xml:space="preserve">Master flag: gameplay is active</t>
  </si>
  <si>
    <t xml:space="preserve">isDancing</t>
  </si>
  <si>
    <t xml:space="preserve">Dance battle is currently running</t>
  </si>
  <si>
    <t xml:space="preserve">amountDances</t>
  </si>
  <si>
    <t xml:space="preserve">Total dance battles won</t>
  </si>
  <si>
    <t xml:space="preserve">isInDarkness</t>
  </si>
  <si>
    <t xml:space="preserve">Player is in an unlit/dark room</t>
  </si>
  <si>
    <t xml:space="preserve">showLightCone</t>
  </si>
  <si>
    <t xml:space="preserve">Lamp light cone visible</t>
  </si>
  <si>
    <t xml:space="preserve">direction</t>
  </si>
  <si>
    <t xml:space="preserve">"idle"</t>
  </si>
  <si>
    <t xml:space="preserve">String</t>
  </si>
  <si>
    <t xml:space="preserve">idle | left | right | up | down</t>
  </si>
  <si>
    <t xml:space="preserve">🎒  items  (PlayerData.items)</t>
  </si>
  <si>
    <t xml:space="preserve">Key</t>
  </si>
  <si>
    <t xml:space="preserve">Default</t>
  </si>
  <si>
    <t xml:space="preserve">Grants</t>
  </si>
  <si>
    <t xml:space="preserve">hasLamp</t>
  </si>
  <si>
    <t xml:space="preserve">Lamp ability (Light Burst)</t>
  </si>
  <si>
    <t xml:space="preserve">Illuminates dark rooms; enables lampLeft/Right/Down animations</t>
  </si>
  <si>
    <t xml:space="preserve">hasRadio</t>
  </si>
  <si>
    <t xml:space="preserve">true</t>
  </si>
  <si>
    <t xml:space="preserve">Dialog / comms</t>
  </si>
  <si>
    <t xml:space="preserve">Needed for NPC video-feed dialog scenes</t>
  </si>
  <si>
    <t xml:space="preserve">hasDWatch</t>
  </si>
  <si>
    <t xml:space="preserve">DWatch tracking</t>
  </si>
  <si>
    <t xml:space="preserve">Optionally drains battery on every walk step</t>
  </si>
  <si>
    <t xml:space="preserve">hasNotes</t>
  </si>
  <si>
    <t xml:space="preserve">Story notes</t>
  </si>
  <si>
    <t xml:space="preserve">Provides narrative / lore pickups</t>
  </si>
  <si>
    <t xml:space="preserve">hasBoots</t>
  </si>
  <si>
    <t xml:space="preserve">Dash ability</t>
  </si>
  <si>
    <t xml:space="preserve">Activates canDash skill; fast directional burst</t>
  </si>
  <si>
    <t xml:space="preserve">hasPlunger</t>
  </si>
  <si>
    <t xml:space="preserve">Plungerang ability</t>
  </si>
  <si>
    <t xml:space="preserve">Activates canPlungerang; boomerang projectile attack</t>
  </si>
  <si>
    <t xml:space="preserve">⚡  skills  (PlayerData.skills)</t>
  </si>
  <si>
    <t xml:space="preserve">Unlocked By</t>
  </si>
  <si>
    <t xml:space="preserve">Effect</t>
  </si>
  <si>
    <t xml:space="preserve">canFlash</t>
  </si>
  <si>
    <t xml:space="preserve">Lamp item</t>
  </si>
  <si>
    <t xml:space="preserve">Light Burst — blinds nearby enemies for ~60 frames</t>
  </si>
  <si>
    <t xml:space="preserve">canDash</t>
  </si>
  <si>
    <t xml:space="preserve">Boots item</t>
  </si>
  <si>
    <t xml:space="preserve">Dash — rapid directional movement burst, phase through tight spaces</t>
  </si>
  <si>
    <t xml:space="preserve">canPlungerang</t>
  </si>
  <si>
    <t xml:space="preserve">Plunger item</t>
  </si>
  <si>
    <t xml:space="preserve">Plungerang — boomerang projectile that returns to player</t>
  </si>
  <si>
    <t xml:space="preserve">🎒  ITEMS, ABILITIES &amp; INTERACTION SYSTEM</t>
  </si>
  <si>
    <t xml:space="preserve">Item</t>
  </si>
  <si>
    <t xml:space="preserve">activeItem ID</t>
  </si>
  <si>
    <t xml:space="preserve">Ability</t>
  </si>
  <si>
    <t xml:space="preserve">Skill Flag</t>
  </si>
  <si>
    <t xml:space="preserve">Gameplay Effect</t>
  </si>
  <si>
    <t xml:space="preserve">Lamp</t>
  </si>
  <si>
    <t xml:space="preserve">Light Burst
(useLampAbility)</t>
  </si>
  <si>
    <t xml:space="preserve">Illuminates dark rooms; cone of light around player;
blinds enemies in radius for ~60 frames via lightBurst()</t>
  </si>
  <si>
    <t xml:space="preserve">Boots</t>
  </si>
  <si>
    <t xml:space="preserve">Dash
(useBootAbility)</t>
  </si>
  <si>
    <t xml:space="preserve">Rapid directional burst of speed; bypasses normal
movement checks; isDashing flag blocks other actions</t>
  </si>
  <si>
    <t xml:space="preserve">Plunger</t>
  </si>
  <si>
    <t xml:space="preserve">3</t>
  </si>
  <si>
    <t xml:space="preserve">Plungerang
(usePlungeAbility)</t>
  </si>
  <si>
    <t xml:space="preserve">Fires boomerang projectile in player direction;
returns to origin; can hit enemies in both directions</t>
  </si>
  <si>
    <t xml:space="preserve">Radio</t>
  </si>
  <si>
    <t xml:space="preserve">—</t>
  </si>
  <si>
    <t xml:space="preserve">Dialog / Comms</t>
  </si>
  <si>
    <t xml:space="preserve">Enables NPC video-feed conversations (videoFeed.lua);
Required for isTalking dialog scenes</t>
  </si>
  <si>
    <t xml:space="preserve">DWatch</t>
  </si>
  <si>
    <t xml:space="preserve">Step Tracker</t>
  </si>
  <si>
    <t xml:space="preserve">Digital watch; optionally drains battery 0.5/frame
while walking (DRAIN_BATTERY_ON_WALK flag)</t>
  </si>
  <si>
    <t xml:space="preserve">Story/Lore</t>
  </si>
  <si>
    <t xml:space="preserve">Collectible narrative items; trigger script events
via storyCounter; granted through itemgift/notes props</t>
  </si>
  <si>
    <t xml:space="preserve">📦  ITEM PROP TYPES (Items.lua entity)</t>
  </si>
  <si>
    <t xml:space="preserve">Type</t>
  </si>
  <si>
    <t xml:space="preserve">Animation Frames</t>
  </si>
  <si>
    <t xml:space="preserve">Key Required</t>
  </si>
  <si>
    <t xml:space="preserve">grants Param</t>
  </si>
  <si>
    <t xml:space="preserve">Usage</t>
  </si>
  <si>
    <t xml:space="preserve">keycard</t>
  </si>
  <si>
    <t xml:space="preserve">13–15</t>
  </si>
  <si>
    <t xml:space="preserve">keyNumber</t>
  </si>
  <si>
    <t xml:space="preserve">Locked door key; stored in PlayerData.keys[n]</t>
  </si>
  <si>
    <t xml:space="preserve">lamp</t>
  </si>
  <si>
    <t xml:space="preserve">7–9</t>
  </si>
  <si>
    <t xml:space="preserve">Grants hasLamp item on pickup</t>
  </si>
  <si>
    <t xml:space="preserve">itemgift</t>
  </si>
  <si>
    <t xml:space="preserve">16–18</t>
  </si>
  <si>
    <t xml:space="preserve">item name</t>
  </si>
  <si>
    <t xml:space="preserve">Generic item gift; grants item specified in grants field</t>
  </si>
  <si>
    <t xml:space="preserve">notes</t>
  </si>
  <si>
    <t xml:space="preserve">10–12</t>
  </si>
  <si>
    <t xml:space="preserve">Narrative note pickup; increments storyCounter</t>
  </si>
  <si>
    <t xml:space="preserve">boots</t>
  </si>
  <si>
    <t xml:space="preserve">1–3</t>
  </si>
  <si>
    <t xml:space="preserve">Grants hasBoots &amp; canDash on pickup</t>
  </si>
  <si>
    <t xml:space="preserve">plunger</t>
  </si>
  <si>
    <t xml:space="preserve">4–6</t>
  </si>
  <si>
    <t xml:space="preserve">Grants hasPlunger &amp; canPlungerang on pickup</t>
  </si>
  <si>
    <t xml:space="preserve">📡  SONAR SYSTEM</t>
  </si>
  <si>
    <t xml:space="preserve">Property</t>
  </si>
  <si>
    <t xml:space="preserve">Detail</t>
  </si>
  <si>
    <t xml:space="preserve">Trigger Condition</t>
  </si>
  <si>
    <t xml:space="preserve">PlayerData.isFocused == true  AND  isInDarkness == true  AND  sanity &gt; 0</t>
  </si>
  <si>
    <t xml:space="preserve">Enemy Response</t>
  </si>
  <si>
    <t xml:space="preserve">Enemy shines with random frame duration (1–16) and rises to ZIndex 10</t>
  </si>
  <si>
    <t xml:space="preserve">Player Side</t>
  </si>
  <si>
    <t xml:space="preserve">FXsonar pulse emitted at item pickup position (FXsonar.lua)</t>
  </si>
  <si>
    <t xml:space="preserve">Range</t>
  </si>
  <si>
    <t xml:space="preserve">Enemy X within 60px of PlayerData.x triggers sonar reveal</t>
  </si>
  <si>
    <t xml:space="preserve">👾  ENEMY SYSTEM — AI, MOVEMENT &amp; SCALING</t>
  </si>
  <si>
    <t xml:space="preserve">🦀  ENEMY TYPES</t>
  </si>
  <si>
    <t xml:space="preserve">Enemy</t>
  </si>
  <si>
    <t xml:space="preserve">File</t>
  </si>
  <si>
    <t xml:space="preserve">Movement AI</t>
  </si>
  <si>
    <t xml:space="preserve">Special Behavior</t>
  </si>
  <si>
    <t xml:space="preserve">Brocorat</t>
  </si>
  <si>
    <t xml:space="preserve">brocorat.lua</t>
  </si>
  <si>
    <t xml:space="preserve">Blind Search</t>
  </si>
  <si>
    <t xml:space="preserve">Can eat edible props to gain powerLevel (+1)
PowerLevel capped with -5 after prop consumed</t>
  </si>
  <si>
    <t xml:space="preserve">Main enemy; direct A* toward player</t>
  </si>
  <si>
    <t xml:space="preserve">Crewmember</t>
  </si>
  <si>
    <t xml:space="preserve">crewmember.lua</t>
  </si>
  <si>
    <t xml:space="preserve">Linear Search</t>
  </si>
  <si>
    <t xml:space="preserve">Only moves when aligned with player
Horizontal OR vertical axis within viewRange</t>
  </si>
  <si>
    <t xml:space="preserve">Pirate crew NPC enemy</t>
  </si>
  <si>
    <t xml:space="preserve">📊  EnemiesData (PlayerData.EnemiesData)</t>
  </si>
  <si>
    <t xml:space="preserve">Field</t>
  </si>
  <si>
    <t xml:space="preserve">powerLevel</t>
  </si>
  <si>
    <t xml:space="preserve">1 – 20</t>
  </si>
  <si>
    <t xml:space="preserve">Determines dance battle difficulty tier</t>
  </si>
  <si>
    <t xml:space="preserve">Increases as game progresses / enemies eat props</t>
  </si>
  <si>
    <t xml:space="preserve">sightRadius</t>
  </si>
  <si>
    <t xml:space="preserve">150</t>
  </si>
  <si>
    <t xml:space="preserve">50 – 150 px</t>
  </si>
  <si>
    <t xml:space="preserve">Enemy detection range for player</t>
  </si>
  <si>
    <t xml:space="preserve">Minimum 50 px; affects when AI activates</t>
  </si>
  <si>
    <t xml:space="preserve">isEvolved</t>
  </si>
  <si>
    <t xml:space="preserve">Evolved state unlocks harder patterns</t>
  </si>
  <si>
    <t xml:space="preserve">Linked to dance battle 'evolve' enemy type</t>
  </si>
  <si>
    <t xml:space="preserve">🏃  ENEMY MOVEMENT SPEED (updateMoveSpeed)</t>
  </si>
  <si>
    <t xml:space="preserve">Condition</t>
  </si>
  <si>
    <t xml:space="preserve">Player Battery</t>
  </si>
  <si>
    <t xml:space="preserve">Speed Multiplier</t>
  </si>
  <si>
    <t xml:space="preserve">Critical darkness</t>
  </si>
  <si>
    <t xml:space="preserve">0.2 px/f (flat)</t>
  </si>
  <si>
    <t xml:space="preserve">Near-stopped; maximum slowdown</t>
  </si>
  <si>
    <t xml:space="preserve">Very low + dark</t>
  </si>
  <si>
    <t xml:space="preserve">≤ 20</t>
  </si>
  <si>
    <t xml:space="preserve">50% of initialSpeed</t>
  </si>
  <si>
    <t xml:space="preserve">Heavy slowdown in darkness</t>
  </si>
  <si>
    <t xml:space="preserve">Low + dark</t>
  </si>
  <si>
    <t xml:space="preserve">≤ 60</t>
  </si>
  <si>
    <t xml:space="preserve">70% of initialSpeed</t>
  </si>
  <si>
    <t xml:space="preserve">Moderate slowdown</t>
  </si>
  <si>
    <t xml:space="preserve">Normal / lit room</t>
  </si>
  <si>
    <t xml:space="preserve">&gt; 60</t>
  </si>
  <si>
    <t xml:space="preserve">any</t>
  </si>
  <si>
    <t xml:space="preserve">100% of initialSpeed</t>
  </si>
  <si>
    <t xml:space="preserve">Full speed; no penalty</t>
  </si>
  <si>
    <t xml:space="preserve">Extra low + dark</t>
  </si>
  <si>
    <t xml:space="preserve">&lt; 10</t>
  </si>
  <si>
    <t xml:space="preserve">0.5 px/f (flat)</t>
  </si>
  <si>
    <t xml:space="preserve">Overrides % logic; absolute cap</t>
  </si>
  <si>
    <t xml:space="preserve">🎫  MOVEMENT TOKEN SYSTEM</t>
  </si>
  <si>
    <t xml:space="preserve">Enemies move reactively to the player using a token budget:
• 1 token = ~1 second of movement (30 frames @ 30fps)
• addMovementFrames(): +3 frames per player step (capped at 90 frames = 3s)
• addMovementTokens(): direct token addition for scripted sequences
• Blind enemies: movementFrames resets to 0 on Enemy:blind() call</t>
  </si>
  <si>
    <t xml:space="preserve">💥  COLLISION RESPONSES (Enemy:collisionResponse)</t>
  </si>
  <si>
    <t xml:space="preserve">Other Object</t>
  </si>
  <si>
    <t xml:space="preserve">Response</t>
  </si>
  <si>
    <t xml:space="preserve">Items / Trigger</t>
  </si>
  <si>
    <t xml:space="preserve">overlap</t>
  </si>
  <si>
    <t xml:space="preserve">Enemy passes through item entities</t>
  </si>
  <si>
    <t xml:space="preserve">Box / PropItem</t>
  </si>
  <si>
    <t xml:space="preserve">freeze</t>
  </si>
  <si>
    <t xml:space="preserve">Enemy stops at solid objects; bounce effect applied</t>
  </si>
  <si>
    <t xml:space="preserve">Player</t>
  </si>
  <si>
    <t xml:space="preserve">Triggers Player:collisionResponse(enemy) — damage / dance</t>
  </si>
  <si>
    <t xml:space="preserve">Other Enemy</t>
  </si>
  <si>
    <t xml:space="preserve">Enemies push each other; bounce factor = 3 px</t>
  </si>
  <si>
    <t xml:space="preserve">💃  DANCE BATTLE SYSTEM (DanceScene.lua)</t>
  </si>
  <si>
    <t xml:space="preserve">⚔️  ENEMY BATTLE TIERS</t>
  </si>
  <si>
    <t xml:space="preserve">Tier</t>
  </si>
  <si>
    <t xml:space="preserve">Power Level Range</t>
  </si>
  <si>
    <t xml:space="preserve">BPM</t>
  </si>
  <si>
    <t xml:space="preserve">Button Count</t>
  </si>
  <si>
    <t xml:space="preserve">Pattern Weights (arrows/A/B)</t>
  </si>
  <si>
    <t xml:space="preserve">BASIC</t>
  </si>
  <si>
    <t xml:space="preserve">1 – 5</t>
  </si>
  <si>
    <t xml:space="preserve">16</t>
  </si>
  <si>
    <t xml:space="preserve">4</t>
  </si>
  <si>
    <t xml:space="preserve">80% / 20% / 0%</t>
  </si>
  <si>
    <t xml:space="preserve">EVOLVE</t>
  </si>
  <si>
    <t xml:space="preserve">6 – 12</t>
  </si>
  <si>
    <t xml:space="preserve">24</t>
  </si>
  <si>
    <t xml:space="preserve">6</t>
  </si>
  <si>
    <t xml:space="preserve">60% / 20% / 20%</t>
  </si>
  <si>
    <t xml:space="preserve">BADASS</t>
  </si>
  <si>
    <t xml:space="preserve">13 – 19</t>
  </si>
  <si>
    <t xml:space="preserve">28</t>
  </si>
  <si>
    <t xml:space="preserve">8</t>
  </si>
  <si>
    <t xml:space="preserve">40% / 30% / 30%</t>
  </si>
  <si>
    <t xml:space="preserve">BOSS</t>
  </si>
  <si>
    <t xml:space="preserve">32</t>
  </si>
  <si>
    <t xml:space="preserve">12</t>
  </si>
  <si>
    <t xml:space="preserve">20% / 40% / 40%</t>
  </si>
  <si>
    <t xml:space="preserve">🎲  DIFFICULTY UPGRADE FORMULA</t>
  </si>
  <si>
    <t xml:space="preserve">Probability (%) = (sanityNorm×0.35 + powerNorm×0.45 + caloriesNorm×0.20) × 100
  • sanityNorm  = sanityCounter / 100      [0–1]
  • powerNorm   = powerLevel / 20           [0–1]
  • caloriesNorm= calories / 500            [0–1]
Roll: random 0–100. If roll ≤ probability → enemy UPGRADES to next tier.
If roll fails → enemy stays 'basic' (default safe state).</t>
  </si>
  <si>
    <t xml:space="preserve">🎹  INPUT SYSTEM &amp; BALANCE BAR</t>
  </si>
  <si>
    <t xml:space="preserve">Input</t>
  </si>
  <si>
    <t xml:space="preserve">Button Key</t>
  </si>
  <si>
    <t xml:space="preserve">Correct Effect</t>
  </si>
  <si>
    <t xml:space="preserve">Wrong Effect</t>
  </si>
  <si>
    <t xml:space="preserve">A Button</t>
  </si>
  <si>
    <t xml:space="preserve">aButton</t>
  </si>
  <si>
    <t xml:space="preserve">enemyHP −10,  balance +5</t>
  </si>
  <si>
    <t xml:space="preserve">balance −5</t>
  </si>
  <si>
    <t xml:space="preserve">Offensive action; directly damages enemy HP</t>
  </si>
  <si>
    <t xml:space="preserve">B Button</t>
  </si>
  <si>
    <t xml:space="preserve">bButton</t>
  </si>
  <si>
    <t xml:space="preserve">Offensive action; same as A button effect</t>
  </si>
  <si>
    <t xml:space="preserve">D-pad Left</t>
  </si>
  <si>
    <t xml:space="preserve">leftButton</t>
  </si>
  <si>
    <t xml:space="preserve">balance + accuracy</t>
  </si>
  <si>
    <t xml:space="preserve">Evasion / rhythm; accuracy bonus stacks</t>
  </si>
  <si>
    <t xml:space="preserve">D-pad Right</t>
  </si>
  <si>
    <t xml:space="preserve">rightButton</t>
  </si>
  <si>
    <t xml:space="preserve">D-pad Up</t>
  </si>
  <si>
    <t xml:space="preserve">upButton</t>
  </si>
  <si>
    <t xml:space="preserve">D-pad Down</t>
  </si>
  <si>
    <t xml:space="preserve">downButton</t>
  </si>
  <si>
    <t xml:space="preserve">🏆  WIN / LOSE CONDITIONS</t>
  </si>
  <si>
    <t xml:space="preserve">Outcome</t>
  </si>
  <si>
    <t xml:space="preserve">Trigger</t>
  </si>
  <si>
    <t xml:space="preserve">Immediate Effect</t>
  </si>
  <si>
    <t xml:space="preserve">Player Gains</t>
  </si>
  <si>
    <t xml:space="preserve">Scene Transition</t>
  </si>
  <si>
    <t xml:space="preserve">WIN  🏆</t>
  </si>
  <si>
    <t xml:space="preserve">balancePosition ≥ balanceMaxOffset (= enemyHP = 50)</t>
  </si>
  <si>
    <t xml:space="preserve">Enemy killed via findAndKillEnemyById()</t>
  </si>
  <si>
    <t xml:space="preserve">HP + healedHP (2), calories + 60, amountDances + 1</t>
  </si>
  <si>
    <t xml:space="preserve">→ Return to MazeScene at playerExit position</t>
  </si>
  <si>
    <t xml:space="preserve">LOSE  💀</t>
  </si>
  <si>
    <t xml:space="preserve">balancePosition ≤ -balanceMaxOffset</t>
  </si>
  <si>
    <t xml:space="preserve">isDancing = false, condition = 'lose'</t>
  </si>
  <si>
    <t xml:space="preserve">HP reset to 2 on scene exit</t>
  </si>
  <si>
    <t xml:space="preserve">→ Transition to TitleScene (MetroNexus transition)</t>
  </si>
  <si>
    <t xml:space="preserve">⚙️  BATTLE CONSTANTS</t>
  </si>
  <si>
    <t xml:space="preserve">Constant</t>
  </si>
  <si>
    <t xml:space="preserve">lifes</t>
  </si>
  <si>
    <t xml:space="preserve">Player dance lives; lose all → LOSE</t>
  </si>
  <si>
    <t xml:space="preserve">enemyHP</t>
  </si>
  <si>
    <t xml:space="preserve">50</t>
  </si>
  <si>
    <t xml:space="preserve">Reduce to zero via A/B button hits</t>
  </si>
  <si>
    <t xml:space="preserve">evadePower</t>
  </si>
  <si>
    <t xml:space="preserve">30</t>
  </si>
  <si>
    <t xml:space="preserve">Initial evasion; updated to totalAccuracy</t>
  </si>
  <si>
    <t xml:space="preserve">balanceMaxOffset</t>
  </si>
  <si>
    <t xml:space="preserve">enemyHP (50)</t>
  </si>
  <si>
    <t xml:space="preserve">Balance bar range: -50 to +50</t>
  </si>
  <si>
    <t xml:space="preserve">button delay step</t>
  </si>
  <si>
    <t xml:space="preserve">300 ms</t>
  </si>
  <si>
    <t xml:space="preserve">Stagger between button drop spawns</t>
  </si>
  <si>
    <t xml:space="preserve">Refresh rate</t>
  </si>
  <si>
    <t xml:space="preserve">50 fps</t>
  </si>
  <si>
    <t xml:space="preserve">DanceScene overrides default display rate</t>
  </si>
  <si>
    <t xml:space="preserve">🧠  SANITY &amp; BATTERY SYSTEMS</t>
  </si>
  <si>
    <t xml:space="preserve">😰  SANITY CHANGE RULES  (checked every 2 000 ms)</t>
  </si>
  <si>
    <t xml:space="preserve">Battery Level</t>
  </si>
  <si>
    <t xml:space="preserve">Sanity Δ per tick</t>
  </si>
  <si>
    <t xml:space="preserve">Critical drain</t>
  </si>
  <si>
    <t xml:space="preserve">&lt; 20</t>
  </si>
  <si>
    <t xml:space="preserve">−4 (2 × sanityLoss)</t>
  </si>
  <si>
    <t xml:space="preserve">Fastest drain; both conditions must be true</t>
  </si>
  <si>
    <t xml:space="preserve">Low drain</t>
  </si>
  <si>
    <t xml:space="preserve">&lt; 40</t>
  </si>
  <si>
    <t xml:space="preserve">−2 (1 × sanityLoss)</t>
  </si>
  <si>
    <t xml:space="preserve">Moderate drain in dark rooms</t>
  </si>
  <si>
    <t xml:space="preserve">Recovery</t>
  </si>
  <si>
    <t xml:space="preserve">&gt; 50</t>
  </si>
  <si>
    <t xml:space="preserve">+4 (2 × sanityLoss)</t>
  </si>
  <si>
    <t xml:space="preserve">Sanity recovers when battery is healthy</t>
  </si>
  <si>
    <t xml:space="preserve">Light recovery</t>
  </si>
  <si>
    <t xml:space="preserve">Being in lit room also recovers sanity</t>
  </si>
  <si>
    <t xml:space="preserve">Clamp min</t>
  </si>
  <si>
    <t xml:space="preserve">Floor: 0</t>
  </si>
  <si>
    <t xml:space="preserve">Sanity cannot go below 0</t>
  </si>
  <si>
    <t xml:space="preserve">Clamp max</t>
  </si>
  <si>
    <t xml:space="preserve">Ceiling: 100</t>
  </si>
  <si>
    <t xml:space="preserve">Sanity cannot exceed 100</t>
  </si>
  <si>
    <t xml:space="preserve">Counter increment</t>
  </si>
  <si>
    <t xml:space="preserve">sanityCounter +1</t>
  </si>
  <si>
    <t xml:space="preserve">Incremented each time sanity hits 0; drives achievements</t>
  </si>
  <si>
    <t xml:space="preserve">🔋  BATTERY DRAIN &amp; CHARGE RULES</t>
  </si>
  <si>
    <t xml:space="preserve">Action</t>
  </si>
  <si>
    <t xml:space="preserve">Drain/Charge</t>
  </si>
  <si>
    <t xml:space="preserve">Function</t>
  </si>
  <si>
    <t xml:space="preserve">Dark room walk</t>
  </si>
  <si>
    <t xml:space="preserve">−0.5 / frame</t>
  </si>
  <si>
    <t xml:space="preserve">isInDarkness == true + any movement</t>
  </si>
  <si>
    <t xml:space="preserve">drainBattery(0.5)</t>
  </si>
  <si>
    <t xml:space="preserve">Applied every movement input frame</t>
  </si>
  <si>
    <t xml:space="preserve">DWatch walk</t>
  </si>
  <si>
    <t xml:space="preserve">hasDWatch == true + DRAIN_FLAG == true</t>
  </si>
  <si>
    <t xml:space="preserve">Optional flag; disabled by default</t>
  </si>
  <si>
    <t xml:space="preserve">Charging station</t>
  </si>
  <si>
    <t xml:space="preserve">+amount</t>
  </si>
  <si>
    <t xml:space="preserve">isCharging == true</t>
  </si>
  <si>
    <t xml:space="preserve">chargeBattery(amt)</t>
  </si>
  <si>
    <t xml:space="preserve">NPC station; plays 'charge' animation</t>
  </si>
  <si>
    <t xml:space="preserve">Full charge</t>
  </si>
  <si>
    <t xml:space="preserve">Manual / chargeFill()</t>
  </si>
  <si>
    <t xml:space="preserve">fillBattery()</t>
  </si>
  <si>
    <t xml:space="preserve">Instant fill; idle animation resumes</t>
  </si>
  <si>
    <t xml:space="preserve">Battery floor</t>
  </si>
  <si>
    <t xml:space="preserve">After any drain</t>
  </si>
  <si>
    <t xml:space="preserve">implicit clamp</t>
  </si>
  <si>
    <t xml:space="preserve">Enemy speed goes to 0.2 px/f in darkness</t>
  </si>
  <si>
    <t xml:space="preserve">🔗  CROSS-SYSTEM EFFECTS</t>
  </si>
  <si>
    <t xml:space="preserve">Battery affects ENEMIES:
  • Low battery + dark room → enemy speed reduced (see Enemy System sheet)
Battery affects SANITY:
  • Battery &lt; 20 + dark → sanity −4/tick
  • Battery &lt; 40 + dark → sanity −2/tick
  • Battery &gt; 50        → sanity +4/tick (recovery)
Sanity affects DIFFICULTY:
  • sanityCounter used in dance battle difficulty upgrade formula (weight 0.35)
Sanity affects SONAR:
  • sanity &gt; 0 required to see enemy glow via sonar focus</t>
  </si>
  <si>
    <t xml:space="preserve">🏅  ACHIEVEMENTS</t>
  </si>
  <si>
    <t xml:space="preserve">ID</t>
  </si>
  <si>
    <t xml:space="preserve">Name</t>
  </si>
  <si>
    <t xml:space="preserve">Secret?</t>
  </si>
  <si>
    <t xml:space="preserve">Score Value</t>
  </si>
  <si>
    <t xml:space="preserve">Unlock Trigger</t>
  </si>
  <si>
    <t xml:space="preserve">wakeup</t>
  </si>
  <si>
    <t xml:space="preserve">What a nap captn</t>
  </si>
  <si>
    <t xml:space="preserve">Wakey wakey eggs and Brocolli</t>
  </si>
  <si>
    <t xml:space="preserve">No</t>
  </si>
  <si>
    <t xml:space="preserve">Game start / first wakeup event</t>
  </si>
  <si>
    <t xml:space="preserve">comms</t>
  </si>
  <si>
    <t xml:space="preserve">Moshi moshi</t>
  </si>
  <si>
    <t xml:space="preserve">(Hidden) Achievement 1 — communication event</t>
  </si>
  <si>
    <t xml:space="preserve">Yes</t>
  </si>
  <si>
    <t xml:space="preserve">First comms / radio interaction</t>
  </si>
  <si>
    <t xml:space="preserve">sanityloss1</t>
  </si>
  <si>
    <t xml:space="preserve">afraid of the dark?</t>
  </si>
  <si>
    <t xml:space="preserve">Too much time alone and in the darkness can make you crazy</t>
  </si>
  <si>
    <t xml:space="preserve">sanityCounter reaches threshold (1st time)</t>
  </si>
  <si>
    <t xml:space="preserve">sanityloss2</t>
  </si>
  <si>
    <t xml:space="preserve">Hello darkness...</t>
  </si>
  <si>
    <t xml:space="preserve">This is the first step into the abyss</t>
  </si>
  <si>
    <t xml:space="preserve">sanityCounter reaches threshold (2nd time)</t>
  </si>
  <si>
    <t xml:space="preserve">microwaveBurn</t>
  </si>
  <si>
    <t xml:space="preserve">Was my mom's microwave</t>
  </si>
  <si>
    <t xml:space="preserve">How are we gonna make tacos now?</t>
  </si>
  <si>
    <t xml:space="preserve">Microwave prop burned / destroyed event</t>
  </si>
  <si>
    <t xml:space="preserve">⚙️  ACHIEVEMENT SYSTEM DETAILS</t>
  </si>
  <si>
    <t xml:space="preserve">• Library: achievements.lua + all.lua (achievement registry)
• Cross-game achievements supported via crossgame.lua
• Toast notifications displayed via toasts.lua on unlock
• Icon assets: assets/images/achievements/achievements-N.png
• Card asset:  assets/images/achievements/card.png
• Achievement viewer accessible from pause menu (viewer.lua)
• Sanity achievements checked via Utilities.checkSanityAchievements()
  called each time PlayerData.sanity reaches 0</t>
  </si>
  <si>
    <t xml:space="preserve">🗺️  LEVELS, ROOMS &amp; WORLD STRUCTURE</t>
  </si>
  <si>
    <t xml:space="preserve">🏠  ROOM CUSTOM FIELDS (LDtk → Lua)</t>
  </si>
  <si>
    <t xml:space="preserve">Example Value</t>
  </si>
  <si>
    <t xml:space="preserve">shadow</t>
  </si>
  <si>
    <t xml:space="preserve">true/false</t>
  </si>
  <si>
    <t xml:space="preserve">Whether room renders shadow overlay</t>
  </si>
  <si>
    <t xml:space="preserve">light</t>
  </si>
  <si>
    <t xml:space="preserve">Float</t>
  </si>
  <si>
    <t xml:space="preserve">0.5</t>
  </si>
  <si>
    <t xml:space="preserve">0.0 – 1.0</t>
  </si>
  <si>
    <t xml:space="preserve">Ambient light level (0 = pitch dark, 1 = fully lit)</t>
  </si>
  <si>
    <t xml:space="preserve">visited</t>
  </si>
  <si>
    <t xml:space="preserve">Has player entered this room before</t>
  </si>
  <si>
    <t xml:space="preserve">comic_name</t>
  </si>
  <si>
    <t xml:space="preserve">"pick-the-device"</t>
  </si>
  <si>
    <t xml:space="preserve">Any ID</t>
  </si>
  <si>
    <t xml:space="preserve">Comic cutscene to trigger on entry</t>
  </si>
  <si>
    <t xml:space="preserve">comic_wasPlayed</t>
  </si>
  <si>
    <t xml:space="preserve">Whether comic has already been shown</t>
  </si>
  <si>
    <t xml:space="preserve">level</t>
  </si>
  <si>
    <t xml:space="preserve">1+</t>
  </si>
  <si>
    <t xml:space="preserve">Floor/level number this room belongs to</t>
  </si>
  <si>
    <t xml:space="preserve">roomNumber</t>
  </si>
  <si>
    <t xml:space="preserve">Unique room number within the level</t>
  </si>
  <si>
    <t xml:space="preserve">tile</t>
  </si>
  <si>
    <t xml:space="preserve">Tilemap variant identifier</t>
  </si>
  <si>
    <t xml:space="preserve">DoorsConnection</t>
  </si>
  <si>
    <t xml:space="preserve">Table</t>
  </si>
  <si>
    <t xml:space="preserve">{Top, Down}</t>
  </si>
  <si>
    <t xml:space="preserve">Top/Down/Left/Right/Lower</t>
  </si>
  <si>
    <t xml:space="preserve">Which sides have doors</t>
  </si>
  <si>
    <t xml:space="preserve">play</t>
  </si>
  <si>
    <t xml:space="preserve">"Cutscene"</t>
  </si>
  <si>
    <t xml:space="preserve">String enum</t>
  </si>
  <si>
    <t xml:space="preserve">Special room event type on enter</t>
  </si>
  <si>
    <t xml:space="preserve">🚪  DOOR / CONNECTION SYSTEM</t>
  </si>
  <si>
    <t xml:space="preserve">Door Direction</t>
  </si>
  <si>
    <t xml:space="preserve">Position in Room</t>
  </si>
  <si>
    <t xml:space="preserve">NeedsKey</t>
  </si>
  <si>
    <t xml:space="preserve">KeyNumber</t>
  </si>
  <si>
    <t xml:space="preserve">Top</t>
  </si>
  <si>
    <t xml:space="preserve">y = 4 (top edge)</t>
  </si>
  <si>
    <t xml:space="preserve">1–N</t>
  </si>
  <si>
    <t xml:space="preserve">Key must be in PlayerData.keys[N]</t>
  </si>
  <si>
    <t xml:space="preserve">Down</t>
  </si>
  <si>
    <t xml:space="preserve">y = roomH−4</t>
  </si>
  <si>
    <t xml:space="preserve">Bottom exit of room</t>
  </si>
  <si>
    <t xml:space="preserve">Left</t>
  </si>
  <si>
    <t xml:space="preserve">x = 4</t>
  </si>
  <si>
    <t xml:space="preserve">Left exit of room</t>
  </si>
  <si>
    <t xml:space="preserve">Right</t>
  </si>
  <si>
    <t xml:space="preserve">x = roomW−4</t>
  </si>
  <si>
    <t xml:space="preserve">Right exit of room</t>
  </si>
  <si>
    <t xml:space="preserve">Lower</t>
  </si>
  <si>
    <t xml:space="preserve">Custom y offset</t>
  </si>
  <si>
    <t xml:space="preserve">Secondary lower exit (multi-door rooms)</t>
  </si>
  <si>
    <t xml:space="preserve">🏗️  WORLD STRUCTURE</t>
  </si>
  <si>
    <t xml:space="preserve">• Map tool: LDtk — exported to LDTK/DPplaydate/ as .ldtkl files + PNG tilemaps
• Lua data: source/assets/data/levels.lua (all rooms as levelsLDTK table)
• Each room: 400×240 px canvas (Playdate native resolution)
• Room data includes: identifier, iid, x/y world coords, width/height,
  bgColor, neighbourLevels (8-directional), customFields, layers[], entities{}
• Navigation: neighbours tracked by direction (n/s/e/w/ne/nw/se/sw)
• 75+ unique rooms in the LDTK project (Room_1 through Room_75+)
• Floor management: Floors.lua orchestrates level/room loading sequence
• Tilemap data: BGTilemap.csv + BGTilemap.png per room (simplified export)
• CrewMemberData tracks which enemy IDs the player has encountered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</si>
</sst>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5A623"/>
      <name val="Arial"/>
      <family val="0"/>
      <charset val="1"/>
    </font>
    <font>
      <i val="true"/>
      <sz val="11"/>
      <color rgb="FFAAAAAA"/>
      <name val="Arial"/>
      <family val="0"/>
      <charset val="1"/>
    </font>
    <font>
      <b val="true"/>
      <sz val="13"/>
      <color rgb="FFF5A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0F3460"/>
      <name val="Arial"/>
      <family val="0"/>
      <charset val="1"/>
    </font>
    <font>
      <b val="true"/>
      <sz val="18"/>
      <color rgb="FFF5A623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b val="true"/>
      <sz val="14"/>
      <color rgb="FFF5A623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sz val="10"/>
      <color rgb="FF0F3460"/>
      <name val="Arial"/>
      <family val="0"/>
      <charset val="1"/>
    </font>
    <font>
      <b val="true"/>
      <sz val="10"/>
      <color rgb="FFE67E22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1A2E"/>
        <bgColor rgb="FF0D1B2A"/>
      </patternFill>
    </fill>
    <fill>
      <patternFill patternType="solid">
        <fgColor rgb="FF16213E"/>
        <bgColor rgb="FF1A1A2E"/>
      </patternFill>
    </fill>
    <fill>
      <patternFill patternType="solid">
        <fgColor rgb="FF0D1B2A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E8EEF5"/>
        <bgColor rgb="FFF0F4FF"/>
      </patternFill>
    </fill>
    <fill>
      <patternFill patternType="solid">
        <fgColor rgb="FFFFFFFF"/>
        <bgColor rgb="FFFFF9E6"/>
      </patternFill>
    </fill>
    <fill>
      <patternFill patternType="solid">
        <fgColor rgb="FFE94560"/>
        <bgColor rgb="FFC0392B"/>
      </patternFill>
    </fill>
    <fill>
      <patternFill patternType="solid">
        <fgColor rgb="FF8E44AD"/>
        <bgColor rgb="FF666699"/>
      </patternFill>
    </fill>
    <fill>
      <patternFill patternType="solid">
        <fgColor rgb="FFF5A623"/>
        <bgColor rgb="FFF39C12"/>
      </patternFill>
    </fill>
    <fill>
      <patternFill patternType="solid">
        <fgColor rgb="FFE67E22"/>
        <bgColor rgb="FFF39C12"/>
      </patternFill>
    </fill>
    <fill>
      <patternFill patternType="solid">
        <fgColor rgb="FF2980B9"/>
        <bgColor rgb="FF0066CC"/>
      </patternFill>
    </fill>
    <fill>
      <patternFill patternType="solid">
        <fgColor rgb="FF27AE60"/>
        <bgColor rgb="FF16A085"/>
      </patternFill>
    </fill>
    <fill>
      <patternFill patternType="solid">
        <fgColor rgb="FFC0392B"/>
        <bgColor rgb="FFE94560"/>
      </patternFill>
    </fill>
    <fill>
      <patternFill patternType="solid">
        <fgColor rgb="FFFFF9E6"/>
        <bgColor rgb="FFFFFFFF"/>
      </patternFill>
    </fill>
    <fill>
      <patternFill patternType="solid">
        <fgColor rgb="FF8B0000"/>
        <bgColor rgb="FF800000"/>
      </patternFill>
    </fill>
    <fill>
      <patternFill patternType="solid">
        <fgColor rgb="FFE8F8F5"/>
        <bgColor rgb="FFF0F8FF"/>
      </patternFill>
    </fill>
    <fill>
      <patternFill patternType="solid">
        <fgColor rgb="FFF0F4FF"/>
        <bgColor rgb="FFF0F8FF"/>
      </patternFill>
    </fill>
    <fill>
      <patternFill patternType="solid">
        <fgColor rgb="FFF0F8FF"/>
        <bgColor rgb="FFF0F4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16A085"/>
      <rgbColor rgb="FFCCCCCC"/>
      <rgbColor rgb="FF808080"/>
      <rgbColor rgb="FF9999FF"/>
      <rgbColor rgb="FF8E44AD"/>
      <rgbColor rgb="FFFFF9E6"/>
      <rgbColor rgb="FFE8F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8EEF5"/>
      <rgbColor rgb="FFF0F8FF"/>
      <rgbColor rgb="FFF0F4FF"/>
      <rgbColor rgb="FF99CCFF"/>
      <rgbColor rgb="FFFF99CC"/>
      <rgbColor rgb="FFCC99FF"/>
      <rgbColor rgb="FFFFCC99"/>
      <rgbColor rgb="FF3366FF"/>
      <rgbColor rgb="FF33CCCC"/>
      <rgbColor rgb="FF99CC00"/>
      <rgbColor rgb="FFF5A623"/>
      <rgbColor rgb="FFF39C12"/>
      <rgbColor rgb="FFE67E22"/>
      <rgbColor rgb="FF666699"/>
      <rgbColor rgb="FFAAAAAA"/>
      <rgbColor rgb="FF0F3460"/>
      <rgbColor rgb="FF27AE60"/>
      <rgbColor rgb="FF0D1B2A"/>
      <rgbColor rgb="FF1A1A2E"/>
      <rgbColor rgb="FFC0392B"/>
      <rgbColor rgb="FFE94560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B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3"/>
  </cols>
  <sheetData>
    <row r="1" customFormat="false" ht="9.75" hidden="false" customHeight="true" outlineLevel="0" collapsed="false"/>
    <row r="2" customFormat="false" ht="49.5" hidden="false" customHeight="true" outlineLevel="0" collapsed="false">
      <c r="B2" s="1" t="s">
        <v>0</v>
      </c>
      <c r="C2" s="1"/>
      <c r="D2" s="1"/>
      <c r="E2" s="1"/>
    </row>
    <row r="3" customFormat="false" ht="9.75" hidden="false" customHeight="true" outlineLevel="0" collapsed="false"/>
    <row r="4" customFormat="false" ht="15" hidden="false" customHeight="true" outlineLevel="0" collapsed="false">
      <c r="B4" s="2" t="s">
        <v>1</v>
      </c>
      <c r="C4" s="2"/>
      <c r="D4" s="2"/>
      <c r="E4" s="2"/>
    </row>
    <row r="5" customFormat="false" ht="7.5" hidden="false" customHeight="true" outlineLevel="0" collapsed="false"/>
    <row r="6" customFormat="false" ht="16.15" hidden="false" customHeight="true" outlineLevel="0" collapsed="false">
      <c r="B6" s="3" t="s">
        <v>2</v>
      </c>
      <c r="C6" s="3"/>
      <c r="D6" s="3" t="s">
        <v>3</v>
      </c>
      <c r="E6" s="3"/>
    </row>
    <row r="7" customFormat="false" ht="15" hidden="false" customHeight="false" outlineLevel="0" collapsed="false">
      <c r="B7" s="4" t="s">
        <v>4</v>
      </c>
      <c r="C7" s="4" t="s">
        <v>5</v>
      </c>
      <c r="D7" s="4" t="s">
        <v>6</v>
      </c>
      <c r="E7" s="4" t="s">
        <v>7</v>
      </c>
    </row>
    <row r="8" customFormat="false" ht="15" hidden="false" customHeight="false" outlineLevel="0" collapsed="false">
      <c r="B8" s="5" t="s">
        <v>8</v>
      </c>
      <c r="C8" s="6" t="s">
        <v>9</v>
      </c>
      <c r="D8" s="7" t="s">
        <v>10</v>
      </c>
      <c r="E8" s="6" t="s">
        <v>11</v>
      </c>
    </row>
    <row r="9" customFormat="false" ht="23.85" hidden="false" customHeight="false" outlineLevel="0" collapsed="false">
      <c r="B9" s="8" t="s">
        <v>12</v>
      </c>
      <c r="C9" s="9" t="s">
        <v>13</v>
      </c>
      <c r="D9" s="10" t="s">
        <v>14</v>
      </c>
      <c r="E9" s="9" t="s">
        <v>15</v>
      </c>
    </row>
    <row r="10" customFormat="false" ht="15" hidden="false" customHeight="false" outlineLevel="0" collapsed="false">
      <c r="B10" s="5" t="s">
        <v>16</v>
      </c>
      <c r="C10" s="6" t="s">
        <v>17</v>
      </c>
      <c r="D10" s="7" t="s">
        <v>18</v>
      </c>
      <c r="E10" s="6" t="s">
        <v>19</v>
      </c>
    </row>
    <row r="11" customFormat="false" ht="15" hidden="false" customHeight="false" outlineLevel="0" collapsed="false">
      <c r="B11" s="8" t="s">
        <v>20</v>
      </c>
      <c r="C11" s="9" t="s">
        <v>21</v>
      </c>
      <c r="D11" s="10" t="s">
        <v>22</v>
      </c>
      <c r="E11" s="9" t="s">
        <v>23</v>
      </c>
    </row>
    <row r="12" customFormat="false" ht="23.85" hidden="false" customHeight="false" outlineLevel="0" collapsed="false">
      <c r="B12" s="5" t="s">
        <v>24</v>
      </c>
      <c r="C12" s="6" t="s">
        <v>25</v>
      </c>
      <c r="D12" s="7" t="s">
        <v>26</v>
      </c>
      <c r="E12" s="6" t="s">
        <v>27</v>
      </c>
    </row>
    <row r="13" customFormat="false" ht="23.85" hidden="false" customHeight="false" outlineLevel="0" collapsed="false">
      <c r="B13" s="8" t="s">
        <v>28</v>
      </c>
      <c r="C13" s="9" t="s">
        <v>29</v>
      </c>
      <c r="D13" s="10" t="s">
        <v>30</v>
      </c>
      <c r="E13" s="9" t="s">
        <v>31</v>
      </c>
    </row>
    <row r="14" customFormat="false" ht="15" hidden="false" customHeight="false" outlineLevel="0" collapsed="false">
      <c r="B14" s="5" t="s">
        <v>32</v>
      </c>
      <c r="C14" s="6" t="s">
        <v>33</v>
      </c>
    </row>
    <row r="15" customFormat="false" ht="15" hidden="false" customHeight="false" outlineLevel="0" collapsed="false">
      <c r="B15" s="8" t="s">
        <v>34</v>
      </c>
      <c r="C15" s="9" t="s">
        <v>35</v>
      </c>
    </row>
    <row r="16" customFormat="false" ht="7.5" hidden="false" customHeight="true" outlineLevel="0" collapsed="false"/>
    <row r="17" customFormat="false" ht="16.15" hidden="false" customHeight="true" outlineLevel="0" collapsed="false">
      <c r="B17" s="3" t="s">
        <v>36</v>
      </c>
      <c r="C17" s="3"/>
      <c r="D17" s="3"/>
      <c r="E17" s="3"/>
    </row>
    <row r="18" customFormat="false" ht="15" hidden="false" customHeight="false" outlineLevel="0" collapsed="false">
      <c r="B18" s="4" t="s">
        <v>37</v>
      </c>
      <c r="C18" s="4" t="s">
        <v>38</v>
      </c>
      <c r="D18" s="4" t="s">
        <v>37</v>
      </c>
      <c r="E18" s="4" t="s">
        <v>38</v>
      </c>
    </row>
    <row r="19" customFormat="false" ht="15" hidden="false" customHeight="false" outlineLevel="0" collapsed="false">
      <c r="B19" s="5" t="s">
        <v>39</v>
      </c>
      <c r="C19" s="11" t="s">
        <v>40</v>
      </c>
      <c r="D19" s="5" t="s">
        <v>41</v>
      </c>
      <c r="E19" s="12" t="s">
        <v>42</v>
      </c>
    </row>
    <row r="20" customFormat="false" ht="15" hidden="false" customHeight="false" outlineLevel="0" collapsed="false">
      <c r="B20" s="8" t="s">
        <v>43</v>
      </c>
      <c r="C20" s="13" t="s">
        <v>44</v>
      </c>
      <c r="D20" s="8" t="s">
        <v>45</v>
      </c>
      <c r="E20" s="14" t="s">
        <v>46</v>
      </c>
    </row>
    <row r="21" customFormat="false" ht="15" hidden="false" customHeight="false" outlineLevel="0" collapsed="false">
      <c r="B21" s="5" t="s">
        <v>47</v>
      </c>
      <c r="C21" s="15" t="s">
        <v>44</v>
      </c>
      <c r="D21" s="5" t="s">
        <v>48</v>
      </c>
      <c r="E21" s="11" t="s">
        <v>49</v>
      </c>
    </row>
    <row r="22" customFormat="false" ht="15" hidden="false" customHeight="false" outlineLevel="0" collapsed="false">
      <c r="B22" s="8" t="s">
        <v>50</v>
      </c>
      <c r="C22" s="16" t="s">
        <v>44</v>
      </c>
      <c r="D22" s="8" t="s">
        <v>51</v>
      </c>
      <c r="E22" s="13" t="s">
        <v>52</v>
      </c>
    </row>
  </sheetData>
  <mergeCells count="5">
    <mergeCell ref="B2:E2"/>
    <mergeCell ref="B4:E4"/>
    <mergeCell ref="B6:C6"/>
    <mergeCell ref="D6:E6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B2:E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26"/>
    <col collapsed="false" customWidth="true" hidden="false" outlineLevel="0" max="6" min="6" style="0" width="3"/>
  </cols>
  <sheetData>
    <row r="2" customFormat="false" ht="39.75" hidden="false" customHeight="true" outlineLevel="0" collapsed="false">
      <c r="B2" s="17" t="s">
        <v>53</v>
      </c>
      <c r="C2" s="17"/>
      <c r="D2" s="17"/>
      <c r="E2" s="17"/>
    </row>
    <row r="4" customFormat="false" ht="15" hidden="false" customHeight="false" outlineLevel="0" collapsed="false">
      <c r="B4" s="4" t="s">
        <v>54</v>
      </c>
      <c r="C4" s="4" t="s">
        <v>55</v>
      </c>
      <c r="D4" s="4" t="s">
        <v>56</v>
      </c>
      <c r="E4" s="4" t="s">
        <v>57</v>
      </c>
    </row>
    <row r="5" customFormat="false" ht="15" hidden="false" customHeight="false" outlineLevel="0" collapsed="false">
      <c r="B5" s="18" t="s">
        <v>58</v>
      </c>
      <c r="C5" s="19" t="s">
        <v>59</v>
      </c>
      <c r="D5" s="19" t="s">
        <v>60</v>
      </c>
      <c r="E5" s="6" t="s">
        <v>61</v>
      </c>
    </row>
    <row r="6" customFormat="false" ht="23.85" hidden="false" customHeight="false" outlineLevel="0" collapsed="false">
      <c r="B6" s="20" t="s">
        <v>62</v>
      </c>
      <c r="C6" s="21" t="s">
        <v>63</v>
      </c>
      <c r="D6" s="21" t="s">
        <v>64</v>
      </c>
      <c r="E6" s="9" t="s">
        <v>65</v>
      </c>
    </row>
    <row r="7" customFormat="false" ht="23.85" hidden="false" customHeight="false" outlineLevel="0" collapsed="false">
      <c r="B7" s="18" t="s">
        <v>66</v>
      </c>
      <c r="C7" s="19" t="s">
        <v>40</v>
      </c>
      <c r="D7" s="19" t="s">
        <v>67</v>
      </c>
      <c r="E7" s="6" t="s">
        <v>68</v>
      </c>
    </row>
    <row r="8" customFormat="false" ht="23.85" hidden="false" customHeight="false" outlineLevel="0" collapsed="false">
      <c r="B8" s="20" t="s">
        <v>69</v>
      </c>
      <c r="C8" s="21" t="s">
        <v>70</v>
      </c>
      <c r="D8" s="21" t="s">
        <v>71</v>
      </c>
      <c r="E8" s="9" t="s">
        <v>72</v>
      </c>
    </row>
    <row r="9" customFormat="false" ht="23.85" hidden="false" customHeight="false" outlineLevel="0" collapsed="false">
      <c r="B9" s="18" t="s">
        <v>73</v>
      </c>
      <c r="C9" s="19" t="s">
        <v>74</v>
      </c>
      <c r="D9" s="19" t="s">
        <v>71</v>
      </c>
      <c r="E9" s="6" t="s">
        <v>75</v>
      </c>
    </row>
    <row r="10" customFormat="false" ht="23.85" hidden="false" customHeight="false" outlineLevel="0" collapsed="false">
      <c r="B10" s="20" t="s">
        <v>76</v>
      </c>
      <c r="C10" s="21" t="s">
        <v>44</v>
      </c>
      <c r="D10" s="21" t="s">
        <v>77</v>
      </c>
      <c r="E10" s="9" t="s">
        <v>78</v>
      </c>
    </row>
    <row r="11" customFormat="false" ht="35.05" hidden="false" customHeight="false" outlineLevel="0" collapsed="false">
      <c r="B11" s="18" t="s">
        <v>79</v>
      </c>
      <c r="C11" s="19" t="s">
        <v>44</v>
      </c>
      <c r="D11" s="19" t="s">
        <v>77</v>
      </c>
      <c r="E11" s="6" t="s">
        <v>80</v>
      </c>
    </row>
    <row r="12" customFormat="false" ht="23.85" hidden="false" customHeight="false" outlineLevel="0" collapsed="false">
      <c r="B12" s="20" t="s">
        <v>81</v>
      </c>
      <c r="C12" s="21" t="s">
        <v>44</v>
      </c>
      <c r="D12" s="21" t="s">
        <v>82</v>
      </c>
      <c r="E12" s="9" t="s">
        <v>83</v>
      </c>
    </row>
    <row r="13" customFormat="false" ht="23.85" hidden="false" customHeight="false" outlineLevel="0" collapsed="false">
      <c r="B13" s="18" t="s">
        <v>84</v>
      </c>
      <c r="C13" s="19" t="s">
        <v>85</v>
      </c>
      <c r="D13" s="19" t="s">
        <v>86</v>
      </c>
      <c r="E13" s="6" t="s">
        <v>87</v>
      </c>
    </row>
    <row r="14" customFormat="false" ht="23.85" hidden="false" customHeight="false" outlineLevel="0" collapsed="false">
      <c r="B14" s="20" t="s">
        <v>88</v>
      </c>
      <c r="C14" s="21" t="s">
        <v>89</v>
      </c>
      <c r="D14" s="21" t="s">
        <v>71</v>
      </c>
      <c r="E14" s="9" t="s">
        <v>90</v>
      </c>
    </row>
    <row r="15" customFormat="false" ht="23.85" hidden="false" customHeight="false" outlineLevel="0" collapsed="false">
      <c r="B15" s="18" t="s">
        <v>91</v>
      </c>
      <c r="C15" s="19" t="s">
        <v>85</v>
      </c>
      <c r="D15" s="19" t="s">
        <v>92</v>
      </c>
      <c r="E15" s="6" t="s">
        <v>93</v>
      </c>
    </row>
    <row r="16" customFormat="false" ht="23.85" hidden="false" customHeight="false" outlineLevel="0" collapsed="false">
      <c r="B16" s="20" t="s">
        <v>94</v>
      </c>
      <c r="C16" s="21" t="s">
        <v>85</v>
      </c>
      <c r="D16" s="21" t="s">
        <v>95</v>
      </c>
      <c r="E16" s="9" t="s">
        <v>96</v>
      </c>
    </row>
    <row r="17" customFormat="false" ht="23.85" hidden="false" customHeight="false" outlineLevel="0" collapsed="false">
      <c r="B17" s="18" t="s">
        <v>97</v>
      </c>
      <c r="C17" s="19" t="s">
        <v>98</v>
      </c>
      <c r="D17" s="19" t="s">
        <v>99</v>
      </c>
      <c r="E17" s="6" t="s">
        <v>100</v>
      </c>
    </row>
    <row r="18" customFormat="false" ht="23.85" hidden="false" customHeight="false" outlineLevel="0" collapsed="false">
      <c r="B18" s="20" t="s">
        <v>101</v>
      </c>
      <c r="C18" s="21" t="s">
        <v>102</v>
      </c>
      <c r="D18" s="21" t="s">
        <v>103</v>
      </c>
      <c r="E18" s="9" t="s">
        <v>104</v>
      </c>
    </row>
    <row r="19" customFormat="false" ht="23.85" hidden="false" customHeight="false" outlineLevel="0" collapsed="false">
      <c r="B19" s="18" t="s">
        <v>105</v>
      </c>
      <c r="C19" s="19" t="s">
        <v>102</v>
      </c>
      <c r="D19" s="19" t="s">
        <v>103</v>
      </c>
      <c r="E19" s="6" t="s">
        <v>106</v>
      </c>
    </row>
    <row r="20" customFormat="false" ht="23.85" hidden="false" customHeight="false" outlineLevel="0" collapsed="false">
      <c r="B20" s="20" t="s">
        <v>107</v>
      </c>
      <c r="C20" s="21" t="s">
        <v>102</v>
      </c>
      <c r="D20" s="21" t="s">
        <v>103</v>
      </c>
      <c r="E20" s="9" t="s">
        <v>108</v>
      </c>
    </row>
    <row r="21" customFormat="false" ht="15" hidden="false" customHeight="false" outlineLevel="0" collapsed="false">
      <c r="B21" s="18" t="s">
        <v>109</v>
      </c>
      <c r="C21" s="19" t="s">
        <v>102</v>
      </c>
      <c r="D21" s="19" t="s">
        <v>103</v>
      </c>
      <c r="E21" s="6" t="s">
        <v>110</v>
      </c>
    </row>
    <row r="22" customFormat="false" ht="23.85" hidden="false" customHeight="false" outlineLevel="0" collapsed="false">
      <c r="B22" s="20" t="s">
        <v>111</v>
      </c>
      <c r="C22" s="21" t="s">
        <v>40</v>
      </c>
      <c r="D22" s="21" t="s">
        <v>71</v>
      </c>
      <c r="E22" s="9" t="s">
        <v>112</v>
      </c>
    </row>
    <row r="23" customFormat="false" ht="15" hidden="false" customHeight="false" outlineLevel="0" collapsed="false">
      <c r="B23" s="18" t="s">
        <v>113</v>
      </c>
      <c r="C23" s="19" t="s">
        <v>40</v>
      </c>
      <c r="D23" s="19" t="s">
        <v>71</v>
      </c>
      <c r="E23" s="6" t="s">
        <v>114</v>
      </c>
    </row>
    <row r="24" customFormat="false" ht="23.85" hidden="false" customHeight="false" outlineLevel="0" collapsed="false">
      <c r="B24" s="20" t="s">
        <v>115</v>
      </c>
      <c r="C24" s="21" t="s">
        <v>85</v>
      </c>
      <c r="D24" s="21" t="s">
        <v>116</v>
      </c>
      <c r="E24" s="9" t="s">
        <v>117</v>
      </c>
    </row>
    <row r="25" customFormat="false" ht="23.85" hidden="false" customHeight="false" outlineLevel="0" collapsed="false">
      <c r="B25" s="18" t="s">
        <v>118</v>
      </c>
      <c r="C25" s="19" t="s">
        <v>102</v>
      </c>
      <c r="D25" s="19" t="s">
        <v>103</v>
      </c>
      <c r="E25" s="6" t="s">
        <v>119</v>
      </c>
    </row>
    <row r="26" customFormat="false" ht="23.85" hidden="false" customHeight="false" outlineLevel="0" collapsed="false">
      <c r="B26" s="20" t="s">
        <v>120</v>
      </c>
      <c r="C26" s="21" t="s">
        <v>85</v>
      </c>
      <c r="D26" s="21" t="s">
        <v>71</v>
      </c>
      <c r="E26" s="9" t="s">
        <v>121</v>
      </c>
    </row>
    <row r="27" customFormat="false" ht="23.85" hidden="false" customHeight="false" outlineLevel="0" collapsed="false">
      <c r="B27" s="18" t="s">
        <v>122</v>
      </c>
      <c r="C27" s="19" t="s">
        <v>102</v>
      </c>
      <c r="D27" s="19" t="s">
        <v>103</v>
      </c>
      <c r="E27" s="6" t="s">
        <v>123</v>
      </c>
    </row>
    <row r="28" customFormat="false" ht="23.85" hidden="false" customHeight="false" outlineLevel="0" collapsed="false">
      <c r="B28" s="20" t="s">
        <v>124</v>
      </c>
      <c r="C28" s="21" t="s">
        <v>102</v>
      </c>
      <c r="D28" s="21" t="s">
        <v>103</v>
      </c>
      <c r="E28" s="9" t="s">
        <v>125</v>
      </c>
    </row>
    <row r="29" customFormat="false" ht="23.85" hidden="false" customHeight="false" outlineLevel="0" collapsed="false">
      <c r="B29" s="18" t="s">
        <v>126</v>
      </c>
      <c r="C29" s="19" t="s">
        <v>102</v>
      </c>
      <c r="D29" s="19" t="s">
        <v>103</v>
      </c>
      <c r="E29" s="6" t="s">
        <v>127</v>
      </c>
    </row>
    <row r="30" customFormat="false" ht="23.85" hidden="false" customHeight="false" outlineLevel="0" collapsed="false">
      <c r="B30" s="20" t="s">
        <v>128</v>
      </c>
      <c r="C30" s="21" t="s">
        <v>102</v>
      </c>
      <c r="D30" s="21" t="s">
        <v>103</v>
      </c>
      <c r="E30" s="9" t="s">
        <v>129</v>
      </c>
    </row>
    <row r="31" customFormat="false" ht="23.85" hidden="false" customHeight="false" outlineLevel="0" collapsed="false">
      <c r="B31" s="18" t="s">
        <v>130</v>
      </c>
      <c r="C31" s="19" t="s">
        <v>102</v>
      </c>
      <c r="D31" s="19" t="s">
        <v>103</v>
      </c>
      <c r="E31" s="6" t="s">
        <v>131</v>
      </c>
    </row>
    <row r="32" customFormat="false" ht="15" hidden="false" customHeight="false" outlineLevel="0" collapsed="false">
      <c r="B32" s="20" t="s">
        <v>132</v>
      </c>
      <c r="C32" s="21" t="s">
        <v>102</v>
      </c>
      <c r="D32" s="21" t="s">
        <v>103</v>
      </c>
      <c r="E32" s="9" t="s">
        <v>133</v>
      </c>
    </row>
    <row r="33" customFormat="false" ht="15" hidden="false" customHeight="false" outlineLevel="0" collapsed="false">
      <c r="B33" s="18" t="s">
        <v>134</v>
      </c>
      <c r="C33" s="19" t="s">
        <v>70</v>
      </c>
      <c r="D33" s="19" t="s">
        <v>71</v>
      </c>
      <c r="E33" s="6" t="s">
        <v>135</v>
      </c>
    </row>
    <row r="34" customFormat="false" ht="15" hidden="false" customHeight="false" outlineLevel="0" collapsed="false">
      <c r="B34" s="20" t="s">
        <v>136</v>
      </c>
      <c r="C34" s="21" t="s">
        <v>70</v>
      </c>
      <c r="D34" s="21" t="s">
        <v>71</v>
      </c>
      <c r="E34" s="9" t="s">
        <v>137</v>
      </c>
    </row>
    <row r="35" customFormat="false" ht="15" hidden="false" customHeight="false" outlineLevel="0" collapsed="false">
      <c r="B35" s="18" t="s">
        <v>138</v>
      </c>
      <c r="C35" s="19" t="s">
        <v>102</v>
      </c>
      <c r="D35" s="19" t="s">
        <v>103</v>
      </c>
      <c r="E35" s="6" t="s">
        <v>139</v>
      </c>
    </row>
    <row r="36" customFormat="false" ht="23.85" hidden="false" customHeight="false" outlineLevel="0" collapsed="false">
      <c r="B36" s="20" t="s">
        <v>140</v>
      </c>
      <c r="C36" s="21" t="s">
        <v>102</v>
      </c>
      <c r="D36" s="21" t="s">
        <v>103</v>
      </c>
      <c r="E36" s="9" t="s">
        <v>141</v>
      </c>
    </row>
    <row r="37" customFormat="false" ht="15" hidden="false" customHeight="false" outlineLevel="0" collapsed="false">
      <c r="B37" s="18" t="s">
        <v>142</v>
      </c>
      <c r="C37" s="19" t="s">
        <v>85</v>
      </c>
      <c r="D37" s="19" t="s">
        <v>71</v>
      </c>
      <c r="E37" s="6" t="s">
        <v>143</v>
      </c>
    </row>
    <row r="38" customFormat="false" ht="15" hidden="false" customHeight="false" outlineLevel="0" collapsed="false">
      <c r="B38" s="20" t="s">
        <v>144</v>
      </c>
      <c r="C38" s="21" t="s">
        <v>102</v>
      </c>
      <c r="D38" s="21" t="s">
        <v>103</v>
      </c>
      <c r="E38" s="9" t="s">
        <v>145</v>
      </c>
    </row>
    <row r="39" customFormat="false" ht="15" hidden="false" customHeight="false" outlineLevel="0" collapsed="false">
      <c r="B39" s="18" t="s">
        <v>146</v>
      </c>
      <c r="C39" s="19" t="s">
        <v>102</v>
      </c>
      <c r="D39" s="19" t="s">
        <v>103</v>
      </c>
      <c r="E39" s="6" t="s">
        <v>147</v>
      </c>
    </row>
    <row r="40" customFormat="false" ht="15" hidden="false" customHeight="false" outlineLevel="0" collapsed="false">
      <c r="B40" s="20" t="s">
        <v>148</v>
      </c>
      <c r="C40" s="21" t="s">
        <v>149</v>
      </c>
      <c r="D40" s="21" t="s">
        <v>150</v>
      </c>
      <c r="E40" s="9" t="s">
        <v>151</v>
      </c>
    </row>
    <row r="43" customFormat="false" ht="17.35" hidden="false" customHeight="true" outlineLevel="0" collapsed="false">
      <c r="B43" s="22" t="s">
        <v>152</v>
      </c>
      <c r="C43" s="22"/>
      <c r="D43" s="22"/>
      <c r="E43" s="22"/>
    </row>
    <row r="44" customFormat="false" ht="15" hidden="false" customHeight="false" outlineLevel="0" collapsed="false">
      <c r="B44" s="14" t="s">
        <v>153</v>
      </c>
      <c r="C44" s="14" t="s">
        <v>154</v>
      </c>
      <c r="D44" s="14" t="s">
        <v>155</v>
      </c>
      <c r="E44" s="14" t="s">
        <v>57</v>
      </c>
    </row>
    <row r="45" customFormat="false" ht="35.05" hidden="false" customHeight="false" outlineLevel="0" collapsed="false">
      <c r="B45" s="5" t="s">
        <v>156</v>
      </c>
      <c r="C45" s="19" t="s">
        <v>102</v>
      </c>
      <c r="D45" s="6" t="s">
        <v>157</v>
      </c>
      <c r="E45" s="6" t="s">
        <v>158</v>
      </c>
    </row>
    <row r="46" customFormat="false" ht="23.85" hidden="false" customHeight="false" outlineLevel="0" collapsed="false">
      <c r="B46" s="8" t="s">
        <v>159</v>
      </c>
      <c r="C46" s="21" t="s">
        <v>160</v>
      </c>
      <c r="D46" s="9" t="s">
        <v>161</v>
      </c>
      <c r="E46" s="9" t="s">
        <v>162</v>
      </c>
    </row>
    <row r="47" customFormat="false" ht="23.85" hidden="false" customHeight="false" outlineLevel="0" collapsed="false">
      <c r="B47" s="5" t="s">
        <v>163</v>
      </c>
      <c r="C47" s="19" t="s">
        <v>102</v>
      </c>
      <c r="D47" s="6" t="s">
        <v>164</v>
      </c>
      <c r="E47" s="6" t="s">
        <v>165</v>
      </c>
    </row>
    <row r="48" customFormat="false" ht="23.85" hidden="false" customHeight="false" outlineLevel="0" collapsed="false">
      <c r="B48" s="8" t="s">
        <v>166</v>
      </c>
      <c r="C48" s="21" t="s">
        <v>160</v>
      </c>
      <c r="D48" s="9" t="s">
        <v>167</v>
      </c>
      <c r="E48" s="9" t="s">
        <v>168</v>
      </c>
    </row>
    <row r="49" customFormat="false" ht="23.85" hidden="false" customHeight="false" outlineLevel="0" collapsed="false">
      <c r="B49" s="5" t="s">
        <v>169</v>
      </c>
      <c r="C49" s="19" t="s">
        <v>102</v>
      </c>
      <c r="D49" s="6" t="s">
        <v>170</v>
      </c>
      <c r="E49" s="6" t="s">
        <v>171</v>
      </c>
    </row>
    <row r="50" customFormat="false" ht="23.85" hidden="false" customHeight="false" outlineLevel="0" collapsed="false">
      <c r="B50" s="8" t="s">
        <v>172</v>
      </c>
      <c r="C50" s="21" t="s">
        <v>102</v>
      </c>
      <c r="D50" s="9" t="s">
        <v>173</v>
      </c>
      <c r="E50" s="9" t="s">
        <v>174</v>
      </c>
    </row>
    <row r="52" customFormat="false" ht="17.35" hidden="false" customHeight="true" outlineLevel="0" collapsed="false">
      <c r="B52" s="22" t="s">
        <v>175</v>
      </c>
      <c r="C52" s="22"/>
      <c r="D52" s="22"/>
      <c r="E52" s="22"/>
    </row>
    <row r="53" customFormat="false" ht="15" hidden="false" customHeight="false" outlineLevel="0" collapsed="false">
      <c r="B53" s="12" t="s">
        <v>153</v>
      </c>
      <c r="C53" s="12" t="s">
        <v>154</v>
      </c>
      <c r="D53" s="12" t="s">
        <v>176</v>
      </c>
      <c r="E53" s="12" t="s">
        <v>177</v>
      </c>
    </row>
    <row r="54" customFormat="false" ht="23.85" hidden="false" customHeight="false" outlineLevel="0" collapsed="false">
      <c r="B54" s="5" t="s">
        <v>178</v>
      </c>
      <c r="C54" s="6" t="s">
        <v>102</v>
      </c>
      <c r="D54" s="6" t="s">
        <v>179</v>
      </c>
      <c r="E54" s="6" t="s">
        <v>180</v>
      </c>
    </row>
    <row r="55" customFormat="false" ht="35.05" hidden="false" customHeight="false" outlineLevel="0" collapsed="false">
      <c r="B55" s="8" t="s">
        <v>181</v>
      </c>
      <c r="C55" s="9" t="s">
        <v>102</v>
      </c>
      <c r="D55" s="9" t="s">
        <v>182</v>
      </c>
      <c r="E55" s="9" t="s">
        <v>183</v>
      </c>
    </row>
    <row r="56" customFormat="false" ht="23.85" hidden="false" customHeight="false" outlineLevel="0" collapsed="false">
      <c r="B56" s="5" t="s">
        <v>184</v>
      </c>
      <c r="C56" s="6" t="s">
        <v>102</v>
      </c>
      <c r="D56" s="6" t="s">
        <v>185</v>
      </c>
      <c r="E56" s="6" t="s">
        <v>186</v>
      </c>
    </row>
  </sheetData>
  <mergeCells count="3">
    <mergeCell ref="B2:E2"/>
    <mergeCell ref="B43:E43"/>
    <mergeCell ref="B52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B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18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3"/>
  </cols>
  <sheetData>
    <row r="2" customFormat="false" ht="39.75" hidden="false" customHeight="true" outlineLevel="0" collapsed="false">
      <c r="B2" s="17" t="s">
        <v>187</v>
      </c>
      <c r="C2" s="17"/>
      <c r="D2" s="17"/>
      <c r="E2" s="17"/>
      <c r="F2" s="17"/>
    </row>
    <row r="4" customFormat="false" ht="15" hidden="false" customHeight="false" outlineLevel="0" collapsed="false">
      <c r="B4" s="4" t="s">
        <v>188</v>
      </c>
      <c r="C4" s="4" t="s">
        <v>189</v>
      </c>
      <c r="D4" s="4" t="s">
        <v>190</v>
      </c>
      <c r="E4" s="4" t="s">
        <v>191</v>
      </c>
      <c r="F4" s="4" t="s">
        <v>192</v>
      </c>
    </row>
    <row r="5" customFormat="false" ht="46.25" hidden="false" customHeight="false" outlineLevel="0" collapsed="false">
      <c r="B5" s="13" t="s">
        <v>193</v>
      </c>
      <c r="C5" s="23" t="s">
        <v>70</v>
      </c>
      <c r="D5" s="6" t="s">
        <v>194</v>
      </c>
      <c r="E5" s="7" t="s">
        <v>178</v>
      </c>
      <c r="F5" s="6" t="s">
        <v>195</v>
      </c>
    </row>
    <row r="6" customFormat="false" ht="46.25" hidden="false" customHeight="false" outlineLevel="0" collapsed="false">
      <c r="B6" s="14" t="s">
        <v>196</v>
      </c>
      <c r="C6" s="24" t="s">
        <v>74</v>
      </c>
      <c r="D6" s="9" t="s">
        <v>197</v>
      </c>
      <c r="E6" s="10" t="s">
        <v>181</v>
      </c>
      <c r="F6" s="9" t="s">
        <v>198</v>
      </c>
    </row>
    <row r="7" customFormat="false" ht="46.25" hidden="false" customHeight="false" outlineLevel="0" collapsed="false">
      <c r="B7" s="4" t="s">
        <v>199</v>
      </c>
      <c r="C7" s="23" t="s">
        <v>200</v>
      </c>
      <c r="D7" s="6" t="s">
        <v>201</v>
      </c>
      <c r="E7" s="7" t="s">
        <v>184</v>
      </c>
      <c r="F7" s="6" t="s">
        <v>202</v>
      </c>
    </row>
    <row r="8" customFormat="false" ht="35.05" hidden="false" customHeight="false" outlineLevel="0" collapsed="false">
      <c r="B8" s="16" t="s">
        <v>203</v>
      </c>
      <c r="C8" s="24" t="s">
        <v>204</v>
      </c>
      <c r="D8" s="9" t="s">
        <v>205</v>
      </c>
      <c r="E8" s="10" t="s">
        <v>204</v>
      </c>
      <c r="F8" s="9" t="s">
        <v>206</v>
      </c>
    </row>
    <row r="9" customFormat="false" ht="46.25" hidden="false" customHeight="false" outlineLevel="0" collapsed="false">
      <c r="B9" s="15" t="s">
        <v>207</v>
      </c>
      <c r="C9" s="23" t="s">
        <v>204</v>
      </c>
      <c r="D9" s="6" t="s">
        <v>208</v>
      </c>
      <c r="E9" s="7" t="s">
        <v>204</v>
      </c>
      <c r="F9" s="6" t="s">
        <v>209</v>
      </c>
    </row>
    <row r="10" customFormat="false" ht="46.25" hidden="false" customHeight="false" outlineLevel="0" collapsed="false">
      <c r="B10" s="12" t="s">
        <v>57</v>
      </c>
      <c r="C10" s="24" t="s">
        <v>204</v>
      </c>
      <c r="D10" s="9" t="s">
        <v>210</v>
      </c>
      <c r="E10" s="10" t="s">
        <v>204</v>
      </c>
      <c r="F10" s="9" t="s">
        <v>211</v>
      </c>
    </row>
    <row r="13" customFormat="false" ht="17.35" hidden="false" customHeight="true" outlineLevel="0" collapsed="false">
      <c r="B13" s="22" t="s">
        <v>212</v>
      </c>
      <c r="C13" s="22"/>
      <c r="D13" s="22"/>
      <c r="E13" s="22"/>
      <c r="F13" s="22"/>
    </row>
    <row r="14" customFormat="false" ht="15" hidden="false" customHeight="false" outlineLevel="0" collapsed="false">
      <c r="B14" s="14" t="s">
        <v>213</v>
      </c>
      <c r="C14" s="14" t="s">
        <v>214</v>
      </c>
      <c r="D14" s="14" t="s">
        <v>215</v>
      </c>
      <c r="E14" s="14" t="s">
        <v>216</v>
      </c>
      <c r="F14" s="14" t="s">
        <v>217</v>
      </c>
    </row>
    <row r="15" customFormat="false" ht="23.85" hidden="false" customHeight="false" outlineLevel="0" collapsed="false">
      <c r="B15" s="5" t="s">
        <v>218</v>
      </c>
      <c r="C15" s="19" t="s">
        <v>219</v>
      </c>
      <c r="D15" s="19" t="s">
        <v>204</v>
      </c>
      <c r="E15" s="19" t="s">
        <v>220</v>
      </c>
      <c r="F15" s="6" t="s">
        <v>221</v>
      </c>
    </row>
    <row r="16" customFormat="false" ht="15" hidden="false" customHeight="false" outlineLevel="0" collapsed="false">
      <c r="B16" s="8" t="s">
        <v>222</v>
      </c>
      <c r="C16" s="21" t="s">
        <v>223</v>
      </c>
      <c r="D16" s="21" t="s">
        <v>204</v>
      </c>
      <c r="E16" s="21" t="s">
        <v>204</v>
      </c>
      <c r="F16" s="9" t="s">
        <v>224</v>
      </c>
    </row>
    <row r="17" customFormat="false" ht="23.85" hidden="false" customHeight="false" outlineLevel="0" collapsed="false">
      <c r="B17" s="5" t="s">
        <v>225</v>
      </c>
      <c r="C17" s="19" t="s">
        <v>226</v>
      </c>
      <c r="D17" s="19" t="s">
        <v>204</v>
      </c>
      <c r="E17" s="19" t="s">
        <v>227</v>
      </c>
      <c r="F17" s="6" t="s">
        <v>228</v>
      </c>
    </row>
    <row r="18" customFormat="false" ht="23.85" hidden="false" customHeight="false" outlineLevel="0" collapsed="false">
      <c r="B18" s="8" t="s">
        <v>229</v>
      </c>
      <c r="C18" s="21" t="s">
        <v>230</v>
      </c>
      <c r="D18" s="21" t="s">
        <v>204</v>
      </c>
      <c r="E18" s="21" t="s">
        <v>227</v>
      </c>
      <c r="F18" s="9" t="s">
        <v>231</v>
      </c>
    </row>
    <row r="19" customFormat="false" ht="15" hidden="false" customHeight="false" outlineLevel="0" collapsed="false">
      <c r="B19" s="5" t="s">
        <v>232</v>
      </c>
      <c r="C19" s="19" t="s">
        <v>233</v>
      </c>
      <c r="D19" s="19" t="s">
        <v>204</v>
      </c>
      <c r="E19" s="19" t="s">
        <v>204</v>
      </c>
      <c r="F19" s="6" t="s">
        <v>234</v>
      </c>
    </row>
    <row r="20" customFormat="false" ht="23.85" hidden="false" customHeight="false" outlineLevel="0" collapsed="false">
      <c r="B20" s="8" t="s">
        <v>235</v>
      </c>
      <c r="C20" s="21" t="s">
        <v>236</v>
      </c>
      <c r="D20" s="21" t="s">
        <v>204</v>
      </c>
      <c r="E20" s="21" t="s">
        <v>204</v>
      </c>
      <c r="F20" s="9" t="s">
        <v>237</v>
      </c>
    </row>
    <row r="22" customFormat="false" ht="17.35" hidden="false" customHeight="true" outlineLevel="0" collapsed="false">
      <c r="B22" s="22" t="s">
        <v>238</v>
      </c>
      <c r="C22" s="22"/>
      <c r="D22" s="22"/>
      <c r="E22" s="22"/>
      <c r="F22" s="22"/>
    </row>
    <row r="23" customFormat="false" ht="15" hidden="false" customHeight="true" outlineLevel="0" collapsed="false">
      <c r="B23" s="15" t="s">
        <v>239</v>
      </c>
      <c r="C23" s="15" t="s">
        <v>240</v>
      </c>
      <c r="D23" s="15"/>
      <c r="E23" s="15"/>
      <c r="F23" s="15"/>
    </row>
    <row r="24" customFormat="false" ht="15" hidden="false" customHeight="true" outlineLevel="0" collapsed="false">
      <c r="B24" s="5" t="s">
        <v>241</v>
      </c>
      <c r="C24" s="6" t="s">
        <v>242</v>
      </c>
      <c r="D24" s="6"/>
      <c r="E24" s="6"/>
      <c r="F24" s="6"/>
    </row>
    <row r="25" customFormat="false" ht="15" hidden="false" customHeight="true" outlineLevel="0" collapsed="false">
      <c r="B25" s="8" t="s">
        <v>243</v>
      </c>
      <c r="C25" s="9" t="s">
        <v>244</v>
      </c>
      <c r="D25" s="9"/>
      <c r="E25" s="9"/>
      <c r="F25" s="9"/>
    </row>
    <row r="26" customFormat="false" ht="15" hidden="false" customHeight="true" outlineLevel="0" collapsed="false">
      <c r="B26" s="5" t="s">
        <v>245</v>
      </c>
      <c r="C26" s="6" t="s">
        <v>246</v>
      </c>
      <c r="D26" s="6"/>
      <c r="E26" s="6"/>
      <c r="F26" s="6"/>
    </row>
    <row r="27" customFormat="false" ht="15" hidden="false" customHeight="true" outlineLevel="0" collapsed="false">
      <c r="B27" s="8" t="s">
        <v>247</v>
      </c>
      <c r="C27" s="9" t="s">
        <v>248</v>
      </c>
      <c r="D27" s="9"/>
      <c r="E27" s="9"/>
      <c r="F27" s="9"/>
    </row>
  </sheetData>
  <mergeCells count="8">
    <mergeCell ref="B2:F2"/>
    <mergeCell ref="B13:F13"/>
    <mergeCell ref="B22:F22"/>
    <mergeCell ref="C23:F23"/>
    <mergeCell ref="C24:F24"/>
    <mergeCell ref="C25:F25"/>
    <mergeCell ref="C26:F26"/>
    <mergeCell ref="C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3"/>
  </cols>
  <sheetData>
    <row r="2" customFormat="false" ht="39.75" hidden="false" customHeight="true" outlineLevel="0" collapsed="false">
      <c r="B2" s="17" t="s">
        <v>249</v>
      </c>
      <c r="C2" s="17"/>
      <c r="D2" s="17"/>
      <c r="E2" s="17"/>
      <c r="F2" s="17"/>
    </row>
    <row r="4" customFormat="false" ht="17.35" hidden="false" customHeight="true" outlineLevel="0" collapsed="false">
      <c r="B4" s="22" t="s">
        <v>250</v>
      </c>
      <c r="C4" s="22"/>
      <c r="D4" s="22"/>
      <c r="E4" s="22"/>
      <c r="F4" s="22"/>
    </row>
    <row r="5" customFormat="false" ht="15" hidden="false" customHeight="false" outlineLevel="0" collapsed="false">
      <c r="B5" s="11" t="s">
        <v>251</v>
      </c>
      <c r="C5" s="11" t="s">
        <v>252</v>
      </c>
      <c r="D5" s="11" t="s">
        <v>253</v>
      </c>
      <c r="E5" s="11" t="s">
        <v>254</v>
      </c>
      <c r="F5" s="11" t="s">
        <v>57</v>
      </c>
    </row>
    <row r="6" customFormat="false" ht="46.25" hidden="false" customHeight="false" outlineLevel="0" collapsed="false">
      <c r="B6" s="11" t="s">
        <v>255</v>
      </c>
      <c r="C6" s="6" t="s">
        <v>256</v>
      </c>
      <c r="D6" s="6" t="s">
        <v>257</v>
      </c>
      <c r="E6" s="6" t="s">
        <v>258</v>
      </c>
      <c r="F6" s="6" t="s">
        <v>259</v>
      </c>
    </row>
    <row r="7" customFormat="false" ht="46.25" hidden="false" customHeight="false" outlineLevel="0" collapsed="false">
      <c r="B7" s="11" t="s">
        <v>260</v>
      </c>
      <c r="C7" s="9" t="s">
        <v>261</v>
      </c>
      <c r="D7" s="9" t="s">
        <v>262</v>
      </c>
      <c r="E7" s="9" t="s">
        <v>263</v>
      </c>
      <c r="F7" s="9" t="s">
        <v>264</v>
      </c>
    </row>
    <row r="10" customFormat="false" ht="17.35" hidden="false" customHeight="true" outlineLevel="0" collapsed="false">
      <c r="B10" s="22" t="s">
        <v>265</v>
      </c>
      <c r="C10" s="22"/>
      <c r="D10" s="22"/>
      <c r="E10" s="22"/>
      <c r="F10" s="22"/>
    </row>
    <row r="11" customFormat="false" ht="15" hidden="false" customHeight="false" outlineLevel="0" collapsed="false">
      <c r="B11" s="4" t="s">
        <v>266</v>
      </c>
      <c r="C11" s="4" t="s">
        <v>154</v>
      </c>
      <c r="D11" s="4" t="s">
        <v>247</v>
      </c>
      <c r="E11" s="4" t="s">
        <v>177</v>
      </c>
      <c r="F11" s="4" t="s">
        <v>57</v>
      </c>
    </row>
    <row r="12" customFormat="false" ht="23.85" hidden="false" customHeight="false" outlineLevel="0" collapsed="false">
      <c r="B12" s="5" t="s">
        <v>267</v>
      </c>
      <c r="C12" s="19" t="s">
        <v>70</v>
      </c>
      <c r="D12" s="19" t="s">
        <v>268</v>
      </c>
      <c r="E12" s="6" t="s">
        <v>269</v>
      </c>
      <c r="F12" s="6" t="s">
        <v>270</v>
      </c>
    </row>
    <row r="13" customFormat="false" ht="23.85" hidden="false" customHeight="false" outlineLevel="0" collapsed="false">
      <c r="B13" s="8" t="s">
        <v>271</v>
      </c>
      <c r="C13" s="21" t="s">
        <v>272</v>
      </c>
      <c r="D13" s="21" t="s">
        <v>273</v>
      </c>
      <c r="E13" s="9" t="s">
        <v>274</v>
      </c>
      <c r="F13" s="9" t="s">
        <v>275</v>
      </c>
    </row>
    <row r="14" customFormat="false" ht="23.85" hidden="false" customHeight="false" outlineLevel="0" collapsed="false">
      <c r="B14" s="5" t="s">
        <v>276</v>
      </c>
      <c r="C14" s="19" t="s">
        <v>102</v>
      </c>
      <c r="D14" s="19" t="s">
        <v>103</v>
      </c>
      <c r="E14" s="6" t="s">
        <v>277</v>
      </c>
      <c r="F14" s="6" t="s">
        <v>278</v>
      </c>
    </row>
    <row r="16" customFormat="false" ht="17.35" hidden="false" customHeight="true" outlineLevel="0" collapsed="false">
      <c r="B16" s="22" t="s">
        <v>279</v>
      </c>
      <c r="C16" s="22"/>
      <c r="D16" s="22"/>
      <c r="E16" s="22"/>
      <c r="F16" s="22"/>
    </row>
    <row r="17" customFormat="false" ht="15" hidden="false" customHeight="false" outlineLevel="0" collapsed="false">
      <c r="B17" s="14" t="s">
        <v>280</v>
      </c>
      <c r="C17" s="14" t="s">
        <v>281</v>
      </c>
      <c r="D17" s="14" t="s">
        <v>144</v>
      </c>
      <c r="E17" s="14" t="s">
        <v>282</v>
      </c>
      <c r="F17" s="14" t="s">
        <v>57</v>
      </c>
    </row>
    <row r="18" customFormat="false" ht="23.85" hidden="false" customHeight="false" outlineLevel="0" collapsed="false">
      <c r="B18" s="5" t="s">
        <v>283</v>
      </c>
      <c r="C18" s="19" t="n">
        <f aca="false">0</f>
        <v>0</v>
      </c>
      <c r="D18" s="19" t="s">
        <v>160</v>
      </c>
      <c r="E18" s="11" t="s">
        <v>284</v>
      </c>
      <c r="F18" s="6" t="s">
        <v>285</v>
      </c>
    </row>
    <row r="19" customFormat="false" ht="15" hidden="false" customHeight="false" outlineLevel="0" collapsed="false">
      <c r="B19" s="8" t="s">
        <v>286</v>
      </c>
      <c r="C19" s="21" t="s">
        <v>287</v>
      </c>
      <c r="D19" s="21" t="s">
        <v>160</v>
      </c>
      <c r="E19" s="25" t="s">
        <v>288</v>
      </c>
      <c r="F19" s="9" t="s">
        <v>289</v>
      </c>
    </row>
    <row r="20" customFormat="false" ht="15" hidden="false" customHeight="false" outlineLevel="0" collapsed="false">
      <c r="B20" s="5" t="s">
        <v>290</v>
      </c>
      <c r="C20" s="19" t="s">
        <v>291</v>
      </c>
      <c r="D20" s="19" t="s">
        <v>160</v>
      </c>
      <c r="E20" s="14" t="s">
        <v>292</v>
      </c>
      <c r="F20" s="6" t="s">
        <v>293</v>
      </c>
    </row>
    <row r="21" customFormat="false" ht="15" hidden="false" customHeight="false" outlineLevel="0" collapsed="false">
      <c r="B21" s="8" t="s">
        <v>294</v>
      </c>
      <c r="C21" s="21" t="s">
        <v>295</v>
      </c>
      <c r="D21" s="21" t="s">
        <v>296</v>
      </c>
      <c r="E21" s="16" t="s">
        <v>297</v>
      </c>
      <c r="F21" s="9" t="s">
        <v>298</v>
      </c>
    </row>
    <row r="22" customFormat="false" ht="15" hidden="false" customHeight="false" outlineLevel="0" collapsed="false">
      <c r="B22" s="5" t="s">
        <v>299</v>
      </c>
      <c r="C22" s="19" t="s">
        <v>300</v>
      </c>
      <c r="D22" s="19" t="s">
        <v>160</v>
      </c>
      <c r="E22" s="11" t="s">
        <v>301</v>
      </c>
      <c r="F22" s="6" t="s">
        <v>302</v>
      </c>
    </row>
    <row r="24" customFormat="false" ht="17.35" hidden="false" customHeight="true" outlineLevel="0" collapsed="false">
      <c r="B24" s="22" t="s">
        <v>303</v>
      </c>
      <c r="C24" s="22"/>
      <c r="D24" s="22"/>
      <c r="E24" s="22"/>
      <c r="F24" s="22"/>
    </row>
    <row r="25" customFormat="false" ht="57.45" hidden="false" customHeight="true" outlineLevel="0" collapsed="false">
      <c r="B25" s="26" t="s">
        <v>304</v>
      </c>
      <c r="C25" s="26"/>
      <c r="D25" s="26"/>
      <c r="E25" s="26"/>
      <c r="F25" s="26"/>
    </row>
    <row r="27" customFormat="false" ht="17.35" hidden="false" customHeight="true" outlineLevel="0" collapsed="false">
      <c r="B27" s="22" t="s">
        <v>305</v>
      </c>
      <c r="C27" s="22"/>
      <c r="D27" s="22"/>
      <c r="E27" s="22"/>
      <c r="F27" s="22"/>
    </row>
    <row r="28" customFormat="false" ht="15" hidden="false" customHeight="true" outlineLevel="0" collapsed="false">
      <c r="B28" s="12" t="s">
        <v>306</v>
      </c>
      <c r="C28" s="12" t="s">
        <v>307</v>
      </c>
      <c r="D28" s="12" t="s">
        <v>57</v>
      </c>
      <c r="E28" s="12"/>
      <c r="F28" s="12"/>
    </row>
    <row r="29" customFormat="false" ht="15" hidden="false" customHeight="true" outlineLevel="0" collapsed="false">
      <c r="B29" s="5" t="s">
        <v>308</v>
      </c>
      <c r="C29" s="16" t="s">
        <v>309</v>
      </c>
      <c r="D29" s="6" t="s">
        <v>310</v>
      </c>
      <c r="E29" s="6"/>
      <c r="F29" s="6"/>
    </row>
    <row r="30" customFormat="false" ht="15" hidden="false" customHeight="true" outlineLevel="0" collapsed="false">
      <c r="B30" s="8" t="s">
        <v>311</v>
      </c>
      <c r="C30" s="11" t="s">
        <v>312</v>
      </c>
      <c r="D30" s="9" t="s">
        <v>313</v>
      </c>
      <c r="E30" s="9"/>
      <c r="F30" s="9"/>
    </row>
    <row r="31" customFormat="false" ht="15" hidden="false" customHeight="true" outlineLevel="0" collapsed="false">
      <c r="B31" s="5" t="s">
        <v>314</v>
      </c>
      <c r="C31" s="16" t="s">
        <v>309</v>
      </c>
      <c r="D31" s="6" t="s">
        <v>315</v>
      </c>
      <c r="E31" s="6"/>
      <c r="F31" s="6"/>
    </row>
    <row r="32" customFormat="false" ht="15" hidden="false" customHeight="true" outlineLevel="0" collapsed="false">
      <c r="B32" s="8" t="s">
        <v>316</v>
      </c>
      <c r="C32" s="11" t="s">
        <v>312</v>
      </c>
      <c r="D32" s="9" t="s">
        <v>317</v>
      </c>
      <c r="E32" s="9"/>
      <c r="F32" s="9"/>
    </row>
  </sheetData>
  <mergeCells count="12">
    <mergeCell ref="B2:F2"/>
    <mergeCell ref="B4:F4"/>
    <mergeCell ref="B10:F10"/>
    <mergeCell ref="B16:F16"/>
    <mergeCell ref="B24:F24"/>
    <mergeCell ref="B25:F25"/>
    <mergeCell ref="B27:F27"/>
    <mergeCell ref="D28:F28"/>
    <mergeCell ref="D29:F29"/>
    <mergeCell ref="D30:F30"/>
    <mergeCell ref="D31:F31"/>
    <mergeCell ref="D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1E63"/>
    <pageSetUpPr fitToPage="false"/>
  </sheetPr>
  <dimension ref="B2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3"/>
  </cols>
  <sheetData>
    <row r="2" customFormat="false" ht="39.75" hidden="false" customHeight="true" outlineLevel="0" collapsed="false">
      <c r="B2" s="17" t="s">
        <v>318</v>
      </c>
      <c r="C2" s="17"/>
      <c r="D2" s="17"/>
      <c r="E2" s="17"/>
      <c r="F2" s="17"/>
    </row>
    <row r="4" customFormat="false" ht="17.35" hidden="false" customHeight="true" outlineLevel="0" collapsed="false">
      <c r="B4" s="22" t="s">
        <v>319</v>
      </c>
      <c r="C4" s="22"/>
      <c r="D4" s="22"/>
      <c r="E4" s="22"/>
      <c r="F4" s="22"/>
    </row>
    <row r="5" customFormat="false" ht="23.85" hidden="false" customHeight="false" outlineLevel="0" collapsed="false">
      <c r="B5" s="11" t="s">
        <v>320</v>
      </c>
      <c r="C5" s="11" t="s">
        <v>321</v>
      </c>
      <c r="D5" s="11" t="s">
        <v>322</v>
      </c>
      <c r="E5" s="11" t="s">
        <v>323</v>
      </c>
      <c r="F5" s="11" t="s">
        <v>324</v>
      </c>
    </row>
    <row r="6" customFormat="false" ht="15" hidden="false" customHeight="false" outlineLevel="0" collapsed="false">
      <c r="B6" s="16" t="s">
        <v>325</v>
      </c>
      <c r="C6" s="19" t="s">
        <v>326</v>
      </c>
      <c r="D6" s="23" t="s">
        <v>327</v>
      </c>
      <c r="E6" s="23" t="s">
        <v>328</v>
      </c>
      <c r="F6" s="6" t="s">
        <v>329</v>
      </c>
    </row>
    <row r="7" customFormat="false" ht="15" hidden="false" customHeight="false" outlineLevel="0" collapsed="false">
      <c r="B7" s="14" t="s">
        <v>330</v>
      </c>
      <c r="C7" s="21" t="s">
        <v>331</v>
      </c>
      <c r="D7" s="24" t="s">
        <v>332</v>
      </c>
      <c r="E7" s="24" t="s">
        <v>333</v>
      </c>
      <c r="F7" s="9" t="s">
        <v>334</v>
      </c>
    </row>
    <row r="8" customFormat="false" ht="15" hidden="false" customHeight="false" outlineLevel="0" collapsed="false">
      <c r="B8" s="11" t="s">
        <v>335</v>
      </c>
      <c r="C8" s="19" t="s">
        <v>336</v>
      </c>
      <c r="D8" s="23" t="s">
        <v>337</v>
      </c>
      <c r="E8" s="23" t="s">
        <v>338</v>
      </c>
      <c r="F8" s="6" t="s">
        <v>339</v>
      </c>
    </row>
    <row r="9" customFormat="false" ht="15" hidden="false" customHeight="false" outlineLevel="0" collapsed="false">
      <c r="B9" s="27" t="s">
        <v>340</v>
      </c>
      <c r="C9" s="21" t="n">
        <f aca="false">20</f>
        <v>20</v>
      </c>
      <c r="D9" s="24" t="s">
        <v>341</v>
      </c>
      <c r="E9" s="24" t="s">
        <v>342</v>
      </c>
      <c r="F9" s="9" t="s">
        <v>343</v>
      </c>
    </row>
    <row r="12" customFormat="false" ht="17.35" hidden="false" customHeight="true" outlineLevel="0" collapsed="false">
      <c r="B12" s="22" t="s">
        <v>344</v>
      </c>
      <c r="C12" s="22"/>
      <c r="D12" s="22"/>
      <c r="E12" s="22"/>
      <c r="F12" s="22"/>
    </row>
    <row r="13" customFormat="false" ht="94.5" hidden="false" customHeight="true" outlineLevel="0" collapsed="false">
      <c r="B13" s="26" t="s">
        <v>345</v>
      </c>
      <c r="C13" s="26"/>
      <c r="D13" s="26"/>
      <c r="E13" s="26"/>
      <c r="F13" s="26"/>
    </row>
    <row r="15" customFormat="false" ht="17.35" hidden="false" customHeight="true" outlineLevel="0" collapsed="false">
      <c r="B15" s="22" t="s">
        <v>346</v>
      </c>
      <c r="C15" s="22"/>
      <c r="D15" s="22"/>
      <c r="E15" s="22"/>
      <c r="F15" s="22"/>
    </row>
    <row r="16" customFormat="false" ht="15" hidden="false" customHeight="false" outlineLevel="0" collapsed="false">
      <c r="B16" s="15" t="s">
        <v>347</v>
      </c>
      <c r="C16" s="15" t="s">
        <v>348</v>
      </c>
      <c r="D16" s="15" t="s">
        <v>349</v>
      </c>
      <c r="E16" s="15" t="s">
        <v>350</v>
      </c>
      <c r="F16" s="15" t="s">
        <v>57</v>
      </c>
    </row>
    <row r="17" customFormat="false" ht="23.85" hidden="false" customHeight="false" outlineLevel="0" collapsed="false">
      <c r="B17" s="5" t="s">
        <v>351</v>
      </c>
      <c r="C17" s="7" t="s">
        <v>352</v>
      </c>
      <c r="D17" s="28" t="s">
        <v>353</v>
      </c>
      <c r="E17" s="29" t="s">
        <v>354</v>
      </c>
      <c r="F17" s="6" t="s">
        <v>355</v>
      </c>
    </row>
    <row r="18" customFormat="false" ht="23.85" hidden="false" customHeight="false" outlineLevel="0" collapsed="false">
      <c r="B18" s="8" t="s">
        <v>356</v>
      </c>
      <c r="C18" s="10" t="s">
        <v>357</v>
      </c>
      <c r="D18" s="30" t="s">
        <v>353</v>
      </c>
      <c r="E18" s="31" t="s">
        <v>354</v>
      </c>
      <c r="F18" s="9" t="s">
        <v>358</v>
      </c>
    </row>
    <row r="19" customFormat="false" ht="23.85" hidden="false" customHeight="false" outlineLevel="0" collapsed="false">
      <c r="B19" s="5" t="s">
        <v>359</v>
      </c>
      <c r="C19" s="7" t="s">
        <v>360</v>
      </c>
      <c r="D19" s="28" t="s">
        <v>361</v>
      </c>
      <c r="E19" s="29" t="s">
        <v>354</v>
      </c>
      <c r="F19" s="6" t="s">
        <v>362</v>
      </c>
    </row>
    <row r="20" customFormat="false" ht="23.85" hidden="false" customHeight="false" outlineLevel="0" collapsed="false">
      <c r="B20" s="8" t="s">
        <v>363</v>
      </c>
      <c r="C20" s="10" t="s">
        <v>364</v>
      </c>
      <c r="D20" s="30" t="s">
        <v>361</v>
      </c>
      <c r="E20" s="31" t="s">
        <v>354</v>
      </c>
      <c r="F20" s="9" t="s">
        <v>362</v>
      </c>
    </row>
    <row r="21" customFormat="false" ht="23.85" hidden="false" customHeight="false" outlineLevel="0" collapsed="false">
      <c r="B21" s="5" t="s">
        <v>365</v>
      </c>
      <c r="C21" s="7" t="s">
        <v>366</v>
      </c>
      <c r="D21" s="28" t="s">
        <v>361</v>
      </c>
      <c r="E21" s="29" t="s">
        <v>354</v>
      </c>
      <c r="F21" s="6" t="s">
        <v>362</v>
      </c>
    </row>
    <row r="22" customFormat="false" ht="23.85" hidden="false" customHeight="false" outlineLevel="0" collapsed="false">
      <c r="B22" s="8" t="s">
        <v>367</v>
      </c>
      <c r="C22" s="10" t="s">
        <v>368</v>
      </c>
      <c r="D22" s="30" t="s">
        <v>361</v>
      </c>
      <c r="E22" s="31" t="s">
        <v>354</v>
      </c>
      <c r="F22" s="9" t="s">
        <v>362</v>
      </c>
    </row>
    <row r="24" customFormat="false" ht="17.35" hidden="false" customHeight="true" outlineLevel="0" collapsed="false">
      <c r="B24" s="22" t="s">
        <v>369</v>
      </c>
      <c r="C24" s="22"/>
      <c r="D24" s="22"/>
      <c r="E24" s="22"/>
      <c r="F24" s="22"/>
    </row>
    <row r="25" customFormat="false" ht="23.85" hidden="false" customHeight="false" outlineLevel="0" collapsed="false">
      <c r="B25" s="4" t="s">
        <v>370</v>
      </c>
      <c r="C25" s="4" t="s">
        <v>371</v>
      </c>
      <c r="D25" s="4" t="s">
        <v>372</v>
      </c>
      <c r="E25" s="4" t="s">
        <v>373</v>
      </c>
      <c r="F25" s="4" t="s">
        <v>374</v>
      </c>
    </row>
    <row r="26" customFormat="false" ht="57.45" hidden="false" customHeight="false" outlineLevel="0" collapsed="false">
      <c r="B26" s="16" t="s">
        <v>375</v>
      </c>
      <c r="C26" s="6" t="s">
        <v>376</v>
      </c>
      <c r="D26" s="6" t="s">
        <v>377</v>
      </c>
      <c r="E26" s="6" t="s">
        <v>378</v>
      </c>
      <c r="F26" s="6" t="s">
        <v>379</v>
      </c>
    </row>
    <row r="27" customFormat="false" ht="46.25" hidden="false" customHeight="false" outlineLevel="0" collapsed="false">
      <c r="B27" s="11" t="s">
        <v>380</v>
      </c>
      <c r="C27" s="9" t="s">
        <v>381</v>
      </c>
      <c r="D27" s="9" t="s">
        <v>382</v>
      </c>
      <c r="E27" s="9" t="s">
        <v>383</v>
      </c>
      <c r="F27" s="9" t="s">
        <v>384</v>
      </c>
    </row>
    <row r="29" customFormat="false" ht="17.35" hidden="false" customHeight="true" outlineLevel="0" collapsed="false">
      <c r="B29" s="22" t="s">
        <v>385</v>
      </c>
      <c r="C29" s="22"/>
      <c r="D29" s="22"/>
      <c r="E29" s="22"/>
      <c r="F29" s="22"/>
    </row>
    <row r="30" customFormat="false" ht="15" hidden="false" customHeight="true" outlineLevel="0" collapsed="false">
      <c r="B30" s="12" t="s">
        <v>386</v>
      </c>
      <c r="C30" s="12" t="s">
        <v>38</v>
      </c>
      <c r="D30" s="12" t="s">
        <v>57</v>
      </c>
      <c r="E30" s="12"/>
      <c r="F30" s="12"/>
    </row>
    <row r="31" customFormat="false" ht="15" hidden="false" customHeight="true" outlineLevel="0" collapsed="false">
      <c r="B31" s="5" t="s">
        <v>387</v>
      </c>
      <c r="C31" s="32" t="s">
        <v>200</v>
      </c>
      <c r="D31" s="6" t="s">
        <v>388</v>
      </c>
      <c r="E31" s="6"/>
      <c r="F31" s="6"/>
    </row>
    <row r="32" customFormat="false" ht="15" hidden="false" customHeight="true" outlineLevel="0" collapsed="false">
      <c r="B32" s="8" t="s">
        <v>389</v>
      </c>
      <c r="C32" s="33" t="s">
        <v>390</v>
      </c>
      <c r="D32" s="9" t="s">
        <v>391</v>
      </c>
      <c r="E32" s="9"/>
      <c r="F32" s="9"/>
    </row>
    <row r="33" customFormat="false" ht="15" hidden="false" customHeight="true" outlineLevel="0" collapsed="false">
      <c r="B33" s="5" t="s">
        <v>392</v>
      </c>
      <c r="C33" s="32" t="s">
        <v>393</v>
      </c>
      <c r="D33" s="6" t="s">
        <v>394</v>
      </c>
      <c r="E33" s="6"/>
      <c r="F33" s="6"/>
    </row>
    <row r="34" customFormat="false" ht="15" hidden="false" customHeight="true" outlineLevel="0" collapsed="false">
      <c r="B34" s="8" t="s">
        <v>395</v>
      </c>
      <c r="C34" s="33" t="s">
        <v>396</v>
      </c>
      <c r="D34" s="9" t="s">
        <v>397</v>
      </c>
      <c r="E34" s="9"/>
      <c r="F34" s="9"/>
    </row>
    <row r="35" customFormat="false" ht="15" hidden="false" customHeight="true" outlineLevel="0" collapsed="false">
      <c r="B35" s="5" t="s">
        <v>398</v>
      </c>
      <c r="C35" s="32" t="s">
        <v>399</v>
      </c>
      <c r="D35" s="6" t="s">
        <v>400</v>
      </c>
      <c r="E35" s="6"/>
      <c r="F35" s="6"/>
    </row>
    <row r="36" customFormat="false" ht="15" hidden="false" customHeight="true" outlineLevel="0" collapsed="false">
      <c r="B36" s="8" t="s">
        <v>401</v>
      </c>
      <c r="C36" s="33" t="s">
        <v>402</v>
      </c>
      <c r="D36" s="9" t="s">
        <v>403</v>
      </c>
      <c r="E36" s="9"/>
      <c r="F36" s="9"/>
    </row>
  </sheetData>
  <mergeCells count="14">
    <mergeCell ref="B2:F2"/>
    <mergeCell ref="B4:F4"/>
    <mergeCell ref="B12:F12"/>
    <mergeCell ref="B13:F13"/>
    <mergeCell ref="B15:F15"/>
    <mergeCell ref="B24:F24"/>
    <mergeCell ref="B29:F29"/>
    <mergeCell ref="D30:F30"/>
    <mergeCell ref="D31:F31"/>
    <mergeCell ref="D32:F32"/>
    <mergeCell ref="D33:F33"/>
    <mergeCell ref="D34:F34"/>
    <mergeCell ref="D35:F35"/>
    <mergeCell ref="D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4" min="3" style="0" width="20"/>
    <col collapsed="false" customWidth="true" hidden="false" outlineLevel="0" max="6" min="5" style="0" width="22"/>
    <col collapsed="false" customWidth="true" hidden="false" outlineLevel="0" max="7" min="7" style="0" width="3"/>
  </cols>
  <sheetData>
    <row r="2" customFormat="false" ht="39.75" hidden="false" customHeight="true" outlineLevel="0" collapsed="false">
      <c r="B2" s="17" t="s">
        <v>404</v>
      </c>
      <c r="C2" s="17"/>
      <c r="D2" s="17"/>
      <c r="E2" s="17"/>
      <c r="F2" s="17"/>
    </row>
    <row r="4" customFormat="false" ht="17.35" hidden="false" customHeight="true" outlineLevel="0" collapsed="false">
      <c r="B4" s="22" t="s">
        <v>405</v>
      </c>
      <c r="C4" s="22"/>
      <c r="D4" s="22"/>
      <c r="E4" s="22"/>
      <c r="F4" s="22"/>
    </row>
    <row r="5" customFormat="false" ht="15" hidden="false" customHeight="false" outlineLevel="0" collapsed="false">
      <c r="B5" s="11" t="s">
        <v>280</v>
      </c>
      <c r="C5" s="11" t="s">
        <v>406</v>
      </c>
      <c r="D5" s="11" t="s">
        <v>144</v>
      </c>
      <c r="E5" s="11" t="s">
        <v>407</v>
      </c>
      <c r="F5" s="11" t="s">
        <v>57</v>
      </c>
    </row>
    <row r="6" customFormat="false" ht="23.85" hidden="false" customHeight="false" outlineLevel="0" collapsed="false">
      <c r="B6" s="11" t="s">
        <v>408</v>
      </c>
      <c r="C6" s="19" t="s">
        <v>409</v>
      </c>
      <c r="D6" s="19" t="s">
        <v>160</v>
      </c>
      <c r="E6" s="32" t="s">
        <v>410</v>
      </c>
      <c r="F6" s="6" t="s">
        <v>411</v>
      </c>
    </row>
    <row r="7" customFormat="false" ht="23.85" hidden="false" customHeight="false" outlineLevel="0" collapsed="false">
      <c r="B7" s="14" t="s">
        <v>412</v>
      </c>
      <c r="C7" s="21" t="s">
        <v>413</v>
      </c>
      <c r="D7" s="21" t="s">
        <v>160</v>
      </c>
      <c r="E7" s="33" t="s">
        <v>414</v>
      </c>
      <c r="F7" s="9" t="s">
        <v>415</v>
      </c>
    </row>
    <row r="8" customFormat="false" ht="23.85" hidden="false" customHeight="false" outlineLevel="0" collapsed="false">
      <c r="B8" s="16" t="s">
        <v>416</v>
      </c>
      <c r="C8" s="19" t="s">
        <v>417</v>
      </c>
      <c r="D8" s="19" t="s">
        <v>296</v>
      </c>
      <c r="E8" s="32" t="s">
        <v>418</v>
      </c>
      <c r="F8" s="6" t="s">
        <v>419</v>
      </c>
    </row>
    <row r="9" customFormat="false" ht="23.85" hidden="false" customHeight="false" outlineLevel="0" collapsed="false">
      <c r="B9" s="16" t="s">
        <v>420</v>
      </c>
      <c r="C9" s="21" t="s">
        <v>296</v>
      </c>
      <c r="D9" s="21" t="s">
        <v>102</v>
      </c>
      <c r="E9" s="33" t="s">
        <v>418</v>
      </c>
      <c r="F9" s="9" t="s">
        <v>421</v>
      </c>
    </row>
    <row r="10" customFormat="false" ht="15" hidden="false" customHeight="false" outlineLevel="0" collapsed="false">
      <c r="B10" s="15" t="s">
        <v>422</v>
      </c>
      <c r="C10" s="19" t="s">
        <v>204</v>
      </c>
      <c r="D10" s="19" t="s">
        <v>204</v>
      </c>
      <c r="E10" s="32" t="s">
        <v>423</v>
      </c>
      <c r="F10" s="6" t="s">
        <v>424</v>
      </c>
    </row>
    <row r="11" customFormat="false" ht="15" hidden="false" customHeight="false" outlineLevel="0" collapsed="false">
      <c r="B11" s="15" t="s">
        <v>425</v>
      </c>
      <c r="C11" s="21" t="s">
        <v>204</v>
      </c>
      <c r="D11" s="21" t="s">
        <v>204</v>
      </c>
      <c r="E11" s="33" t="s">
        <v>426</v>
      </c>
      <c r="F11" s="9" t="s">
        <v>427</v>
      </c>
    </row>
    <row r="12" customFormat="false" ht="35.05" hidden="false" customHeight="false" outlineLevel="0" collapsed="false">
      <c r="B12" s="12" t="s">
        <v>428</v>
      </c>
      <c r="C12" s="19" t="s">
        <v>204</v>
      </c>
      <c r="D12" s="19" t="s">
        <v>204</v>
      </c>
      <c r="E12" s="32" t="s">
        <v>429</v>
      </c>
      <c r="F12" s="6" t="s">
        <v>430</v>
      </c>
    </row>
    <row r="15" customFormat="false" ht="17.35" hidden="false" customHeight="true" outlineLevel="0" collapsed="false">
      <c r="B15" s="22" t="s">
        <v>431</v>
      </c>
      <c r="C15" s="22"/>
      <c r="D15" s="22"/>
      <c r="E15" s="22"/>
      <c r="F15" s="22"/>
    </row>
    <row r="16" customFormat="false" ht="15" hidden="false" customHeight="false" outlineLevel="0" collapsed="false">
      <c r="B16" s="4" t="s">
        <v>432</v>
      </c>
      <c r="C16" s="4" t="s">
        <v>433</v>
      </c>
      <c r="D16" s="4" t="s">
        <v>371</v>
      </c>
      <c r="E16" s="4" t="s">
        <v>434</v>
      </c>
      <c r="F16" s="4" t="s">
        <v>57</v>
      </c>
    </row>
    <row r="17" customFormat="false" ht="23.85" hidden="false" customHeight="false" outlineLevel="0" collapsed="false">
      <c r="B17" s="5" t="s">
        <v>435</v>
      </c>
      <c r="C17" s="11" t="s">
        <v>436</v>
      </c>
      <c r="D17" s="6" t="s">
        <v>437</v>
      </c>
      <c r="E17" s="7" t="s">
        <v>438</v>
      </c>
      <c r="F17" s="6" t="s">
        <v>439</v>
      </c>
    </row>
    <row r="18" customFormat="false" ht="23.85" hidden="false" customHeight="false" outlineLevel="0" collapsed="false">
      <c r="B18" s="8" t="s">
        <v>440</v>
      </c>
      <c r="C18" s="11" t="s">
        <v>436</v>
      </c>
      <c r="D18" s="9" t="s">
        <v>441</v>
      </c>
      <c r="E18" s="10" t="s">
        <v>438</v>
      </c>
      <c r="F18" s="9" t="s">
        <v>442</v>
      </c>
    </row>
    <row r="19" customFormat="false" ht="23.85" hidden="false" customHeight="false" outlineLevel="0" collapsed="false">
      <c r="B19" s="5" t="s">
        <v>443</v>
      </c>
      <c r="C19" s="16" t="s">
        <v>444</v>
      </c>
      <c r="D19" s="6" t="s">
        <v>445</v>
      </c>
      <c r="E19" s="7" t="s">
        <v>446</v>
      </c>
      <c r="F19" s="6" t="s">
        <v>447</v>
      </c>
    </row>
    <row r="20" customFormat="false" ht="23.85" hidden="false" customHeight="false" outlineLevel="0" collapsed="false">
      <c r="B20" s="8" t="s">
        <v>448</v>
      </c>
      <c r="C20" s="16" t="n">
        <f aca="false">100</f>
        <v>100</v>
      </c>
      <c r="D20" s="9" t="s">
        <v>449</v>
      </c>
      <c r="E20" s="10" t="s">
        <v>450</v>
      </c>
      <c r="F20" s="9" t="s">
        <v>451</v>
      </c>
    </row>
    <row r="21" customFormat="false" ht="23.85" hidden="false" customHeight="false" outlineLevel="0" collapsed="false">
      <c r="B21" s="5" t="s">
        <v>452</v>
      </c>
      <c r="C21" s="16" t="n">
        <f aca="false">0</f>
        <v>0</v>
      </c>
      <c r="D21" s="6" t="s">
        <v>453</v>
      </c>
      <c r="E21" s="7" t="s">
        <v>454</v>
      </c>
      <c r="F21" s="6" t="s">
        <v>455</v>
      </c>
    </row>
    <row r="23" customFormat="false" ht="17.35" hidden="false" customHeight="true" outlineLevel="0" collapsed="false">
      <c r="B23" s="22" t="s">
        <v>456</v>
      </c>
      <c r="C23" s="22"/>
      <c r="D23" s="22"/>
      <c r="E23" s="22"/>
      <c r="F23" s="22"/>
    </row>
    <row r="24" customFormat="false" ht="109.5" hidden="false" customHeight="true" outlineLevel="0" collapsed="false">
      <c r="B24" s="34" t="s">
        <v>457</v>
      </c>
      <c r="C24" s="34"/>
      <c r="D24" s="34"/>
      <c r="E24" s="34"/>
      <c r="F24" s="34"/>
    </row>
  </sheetData>
  <mergeCells count="5">
    <mergeCell ref="B2:F2"/>
    <mergeCell ref="B4:F4"/>
    <mergeCell ref="B15:F15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"/>
  </cols>
  <sheetData>
    <row r="2" customFormat="false" ht="39.75" hidden="false" customHeight="true" outlineLevel="0" collapsed="false">
      <c r="B2" s="17" t="s">
        <v>458</v>
      </c>
      <c r="C2" s="17"/>
      <c r="D2" s="17"/>
      <c r="E2" s="17"/>
      <c r="F2" s="17"/>
      <c r="G2" s="17"/>
    </row>
    <row r="4" customFormat="false" ht="23.85" hidden="false" customHeight="false" outlineLevel="0" collapsed="false">
      <c r="B4" s="4" t="s">
        <v>459</v>
      </c>
      <c r="C4" s="4" t="s">
        <v>460</v>
      </c>
      <c r="D4" s="4" t="s">
        <v>5</v>
      </c>
      <c r="E4" s="4" t="s">
        <v>461</v>
      </c>
      <c r="F4" s="4" t="s">
        <v>462</v>
      </c>
      <c r="G4" s="4" t="s">
        <v>463</v>
      </c>
    </row>
    <row r="5" customFormat="false" ht="35.05" hidden="false" customHeight="false" outlineLevel="0" collapsed="false">
      <c r="B5" s="7" t="s">
        <v>464</v>
      </c>
      <c r="C5" s="5" t="s">
        <v>465</v>
      </c>
      <c r="D5" s="6" t="s">
        <v>466</v>
      </c>
      <c r="E5" s="16" t="s">
        <v>467</v>
      </c>
      <c r="F5" s="35" t="s">
        <v>74</v>
      </c>
      <c r="G5" s="6" t="s">
        <v>468</v>
      </c>
    </row>
    <row r="6" customFormat="false" ht="35.05" hidden="false" customHeight="false" outlineLevel="0" collapsed="false">
      <c r="B6" s="10" t="s">
        <v>469</v>
      </c>
      <c r="C6" s="8" t="s">
        <v>470</v>
      </c>
      <c r="D6" s="9" t="s">
        <v>471</v>
      </c>
      <c r="E6" s="12" t="s">
        <v>472</v>
      </c>
      <c r="F6" s="36" t="s">
        <v>204</v>
      </c>
      <c r="G6" s="9" t="s">
        <v>473</v>
      </c>
    </row>
    <row r="7" customFormat="false" ht="46.25" hidden="false" customHeight="false" outlineLevel="0" collapsed="false">
      <c r="B7" s="7" t="s">
        <v>474</v>
      </c>
      <c r="C7" s="5" t="s">
        <v>475</v>
      </c>
      <c r="D7" s="6" t="s">
        <v>476</v>
      </c>
      <c r="E7" s="12" t="s">
        <v>472</v>
      </c>
      <c r="F7" s="35" t="s">
        <v>204</v>
      </c>
      <c r="G7" s="6" t="s">
        <v>477</v>
      </c>
    </row>
    <row r="8" customFormat="false" ht="46.25" hidden="false" customHeight="false" outlineLevel="0" collapsed="false">
      <c r="B8" s="10" t="s">
        <v>478</v>
      </c>
      <c r="C8" s="8" t="s">
        <v>479</v>
      </c>
      <c r="D8" s="9" t="s">
        <v>480</v>
      </c>
      <c r="E8" s="12" t="s">
        <v>472</v>
      </c>
      <c r="F8" s="36" t="s">
        <v>204</v>
      </c>
      <c r="G8" s="9" t="s">
        <v>481</v>
      </c>
    </row>
    <row r="9" customFormat="false" ht="46.25" hidden="false" customHeight="false" outlineLevel="0" collapsed="false">
      <c r="B9" s="7" t="s">
        <v>482</v>
      </c>
      <c r="C9" s="5" t="s">
        <v>483</v>
      </c>
      <c r="D9" s="6" t="s">
        <v>484</v>
      </c>
      <c r="E9" s="12" t="s">
        <v>472</v>
      </c>
      <c r="F9" s="35" t="s">
        <v>204</v>
      </c>
      <c r="G9" s="6" t="s">
        <v>485</v>
      </c>
    </row>
    <row r="12" customFormat="false" ht="17.35" hidden="false" customHeight="true" outlineLevel="0" collapsed="false">
      <c r="B12" s="22" t="s">
        <v>486</v>
      </c>
      <c r="C12" s="22"/>
      <c r="D12" s="22"/>
      <c r="E12" s="22"/>
      <c r="F12" s="22"/>
      <c r="G12" s="22"/>
    </row>
    <row r="13" customFormat="false" ht="99.75" hidden="false" customHeight="true" outlineLevel="0" collapsed="false">
      <c r="B13" s="37" t="s">
        <v>487</v>
      </c>
      <c r="C13" s="37"/>
      <c r="D13" s="37"/>
      <c r="E13" s="37"/>
      <c r="F13" s="37"/>
      <c r="G13" s="37"/>
    </row>
  </sheetData>
  <mergeCells count="3">
    <mergeCell ref="B2:G2"/>
    <mergeCell ref="B12:G12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085"/>
    <pageSetUpPr fitToPage="false"/>
  </sheetPr>
  <dimension ref="B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3"/>
  </cols>
  <sheetData>
    <row r="2" customFormat="false" ht="39.75" hidden="false" customHeight="true" outlineLevel="0" collapsed="false">
      <c r="B2" s="17" t="s">
        <v>488</v>
      </c>
      <c r="C2" s="17"/>
      <c r="D2" s="17"/>
      <c r="E2" s="17"/>
      <c r="F2" s="17"/>
    </row>
    <row r="4" customFormat="false" ht="17.35" hidden="false" customHeight="true" outlineLevel="0" collapsed="false">
      <c r="B4" s="22" t="s">
        <v>489</v>
      </c>
      <c r="C4" s="22"/>
      <c r="D4" s="22"/>
      <c r="E4" s="22"/>
      <c r="F4" s="22"/>
    </row>
    <row r="5" customFormat="false" ht="15" hidden="false" customHeight="false" outlineLevel="0" collapsed="false">
      <c r="B5" s="4" t="s">
        <v>266</v>
      </c>
      <c r="C5" s="4" t="s">
        <v>213</v>
      </c>
      <c r="D5" s="4" t="s">
        <v>490</v>
      </c>
      <c r="E5" s="4" t="s">
        <v>247</v>
      </c>
      <c r="F5" s="4" t="s">
        <v>7</v>
      </c>
    </row>
    <row r="6" customFormat="false" ht="23.85" hidden="false" customHeight="false" outlineLevel="0" collapsed="false">
      <c r="B6" s="5" t="s">
        <v>491</v>
      </c>
      <c r="C6" s="19" t="s">
        <v>103</v>
      </c>
      <c r="D6" s="38" t="s">
        <v>102</v>
      </c>
      <c r="E6" s="19" t="s">
        <v>492</v>
      </c>
      <c r="F6" s="6" t="s">
        <v>493</v>
      </c>
    </row>
    <row r="7" customFormat="false" ht="23.85" hidden="false" customHeight="false" outlineLevel="0" collapsed="false">
      <c r="B7" s="8" t="s">
        <v>494</v>
      </c>
      <c r="C7" s="21" t="s">
        <v>495</v>
      </c>
      <c r="D7" s="39" t="s">
        <v>496</v>
      </c>
      <c r="E7" s="21" t="s">
        <v>497</v>
      </c>
      <c r="F7" s="9" t="s">
        <v>498</v>
      </c>
    </row>
    <row r="8" customFormat="false" ht="15" hidden="false" customHeight="false" outlineLevel="0" collapsed="false">
      <c r="B8" s="5" t="s">
        <v>499</v>
      </c>
      <c r="C8" s="19" t="s">
        <v>103</v>
      </c>
      <c r="D8" s="38" t="s">
        <v>102</v>
      </c>
      <c r="E8" s="19" t="s">
        <v>492</v>
      </c>
      <c r="F8" s="6" t="s">
        <v>500</v>
      </c>
    </row>
    <row r="9" customFormat="false" ht="15" hidden="false" customHeight="false" outlineLevel="0" collapsed="false">
      <c r="B9" s="8" t="s">
        <v>501</v>
      </c>
      <c r="C9" s="21" t="s">
        <v>150</v>
      </c>
      <c r="D9" s="39" t="s">
        <v>502</v>
      </c>
      <c r="E9" s="21" t="s">
        <v>503</v>
      </c>
      <c r="F9" s="9" t="s">
        <v>504</v>
      </c>
    </row>
    <row r="10" customFormat="false" ht="23.85" hidden="false" customHeight="false" outlineLevel="0" collapsed="false">
      <c r="B10" s="5" t="s">
        <v>505</v>
      </c>
      <c r="C10" s="19" t="s">
        <v>103</v>
      </c>
      <c r="D10" s="38" t="s">
        <v>102</v>
      </c>
      <c r="E10" s="19" t="s">
        <v>492</v>
      </c>
      <c r="F10" s="6" t="s">
        <v>506</v>
      </c>
    </row>
    <row r="11" customFormat="false" ht="23.85" hidden="false" customHeight="false" outlineLevel="0" collapsed="false">
      <c r="B11" s="8" t="s">
        <v>507</v>
      </c>
      <c r="C11" s="21" t="s">
        <v>71</v>
      </c>
      <c r="D11" s="39" t="s">
        <v>328</v>
      </c>
      <c r="E11" s="21" t="s">
        <v>508</v>
      </c>
      <c r="F11" s="9" t="s">
        <v>509</v>
      </c>
    </row>
    <row r="12" customFormat="false" ht="15" hidden="false" customHeight="false" outlineLevel="0" collapsed="false">
      <c r="B12" s="5" t="s">
        <v>510</v>
      </c>
      <c r="C12" s="19" t="s">
        <v>71</v>
      </c>
      <c r="D12" s="38" t="s">
        <v>338</v>
      </c>
      <c r="E12" s="19" t="s">
        <v>508</v>
      </c>
      <c r="F12" s="6" t="s">
        <v>511</v>
      </c>
    </row>
    <row r="13" customFormat="false" ht="15" hidden="false" customHeight="false" outlineLevel="0" collapsed="false">
      <c r="B13" s="8" t="s">
        <v>512</v>
      </c>
      <c r="C13" s="21" t="s">
        <v>71</v>
      </c>
      <c r="D13" s="39" t="s">
        <v>338</v>
      </c>
      <c r="E13" s="21" t="s">
        <v>508</v>
      </c>
      <c r="F13" s="9" t="s">
        <v>513</v>
      </c>
    </row>
    <row r="14" customFormat="false" ht="23.85" hidden="false" customHeight="false" outlineLevel="0" collapsed="false">
      <c r="B14" s="5" t="s">
        <v>514</v>
      </c>
      <c r="C14" s="19" t="s">
        <v>515</v>
      </c>
      <c r="D14" s="38" t="s">
        <v>516</v>
      </c>
      <c r="E14" s="19" t="s">
        <v>517</v>
      </c>
      <c r="F14" s="6" t="s">
        <v>518</v>
      </c>
    </row>
    <row r="15" customFormat="false" ht="15" hidden="false" customHeight="false" outlineLevel="0" collapsed="false">
      <c r="B15" s="8" t="s">
        <v>519</v>
      </c>
      <c r="C15" s="21" t="s">
        <v>150</v>
      </c>
      <c r="D15" s="39" t="s">
        <v>520</v>
      </c>
      <c r="E15" s="21" t="s">
        <v>521</v>
      </c>
      <c r="F15" s="9" t="s">
        <v>522</v>
      </c>
    </row>
    <row r="18" customFormat="false" ht="17.35" hidden="false" customHeight="true" outlineLevel="0" collapsed="false">
      <c r="B18" s="22" t="s">
        <v>523</v>
      </c>
      <c r="C18" s="22"/>
      <c r="D18" s="22"/>
      <c r="E18" s="22"/>
      <c r="F18" s="22"/>
    </row>
    <row r="19" customFormat="false" ht="15" hidden="false" customHeight="false" outlineLevel="0" collapsed="false">
      <c r="B19" s="14" t="s">
        <v>524</v>
      </c>
      <c r="C19" s="14" t="s">
        <v>525</v>
      </c>
      <c r="D19" s="14" t="s">
        <v>526</v>
      </c>
      <c r="E19" s="14" t="s">
        <v>527</v>
      </c>
      <c r="F19" s="14" t="s">
        <v>57</v>
      </c>
    </row>
    <row r="20" customFormat="false" ht="15" hidden="false" customHeight="false" outlineLevel="0" collapsed="false">
      <c r="B20" s="40" t="s">
        <v>528</v>
      </c>
      <c r="C20" s="6" t="s">
        <v>529</v>
      </c>
      <c r="D20" s="19" t="s">
        <v>492</v>
      </c>
      <c r="E20" s="19" t="s">
        <v>530</v>
      </c>
      <c r="F20" s="19" t="s">
        <v>531</v>
      </c>
    </row>
    <row r="21" customFormat="false" ht="15" hidden="false" customHeight="false" outlineLevel="0" collapsed="false">
      <c r="B21" s="41" t="s">
        <v>532</v>
      </c>
      <c r="C21" s="9" t="s">
        <v>533</v>
      </c>
      <c r="D21" s="21" t="s">
        <v>492</v>
      </c>
      <c r="E21" s="21" t="s">
        <v>530</v>
      </c>
      <c r="F21" s="21" t="s">
        <v>534</v>
      </c>
    </row>
    <row r="22" customFormat="false" ht="15" hidden="false" customHeight="false" outlineLevel="0" collapsed="false">
      <c r="B22" s="40" t="s">
        <v>535</v>
      </c>
      <c r="C22" s="6" t="s">
        <v>536</v>
      </c>
      <c r="D22" s="19" t="s">
        <v>492</v>
      </c>
      <c r="E22" s="19" t="s">
        <v>530</v>
      </c>
      <c r="F22" s="19" t="s">
        <v>537</v>
      </c>
    </row>
    <row r="23" customFormat="false" ht="15" hidden="false" customHeight="false" outlineLevel="0" collapsed="false">
      <c r="B23" s="41" t="s">
        <v>538</v>
      </c>
      <c r="C23" s="9" t="s">
        <v>539</v>
      </c>
      <c r="D23" s="21" t="s">
        <v>492</v>
      </c>
      <c r="E23" s="21" t="s">
        <v>530</v>
      </c>
      <c r="F23" s="21" t="s">
        <v>540</v>
      </c>
    </row>
    <row r="24" customFormat="false" ht="23.85" hidden="false" customHeight="false" outlineLevel="0" collapsed="false">
      <c r="B24" s="40" t="s">
        <v>541</v>
      </c>
      <c r="C24" s="6" t="s">
        <v>542</v>
      </c>
      <c r="D24" s="19" t="s">
        <v>492</v>
      </c>
      <c r="E24" s="19" t="s">
        <v>530</v>
      </c>
      <c r="F24" s="19" t="s">
        <v>543</v>
      </c>
    </row>
    <row r="26" customFormat="false" ht="17.35" hidden="false" customHeight="true" outlineLevel="0" collapsed="false">
      <c r="B26" s="22" t="s">
        <v>544</v>
      </c>
      <c r="C26" s="22"/>
      <c r="D26" s="22"/>
      <c r="E26" s="22"/>
      <c r="F26" s="22"/>
    </row>
    <row r="27" customFormat="false" ht="120" hidden="false" customHeight="true" outlineLevel="0" collapsed="false">
      <c r="B27" s="42" t="s">
        <v>545</v>
      </c>
      <c r="C27" s="42"/>
      <c r="D27" s="42"/>
      <c r="E27" s="42"/>
      <c r="F27" s="42"/>
    </row>
  </sheetData>
  <mergeCells count="5">
    <mergeCell ref="B2:F2"/>
    <mergeCell ref="B4:F4"/>
    <mergeCell ref="B18:F18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2026-03-14T23:58:18Z</dcterms:created>
  <dc:creator>openpyxl</dc:creator>
  <dc:description/>
  <dc:language>en-US</dc:language>
  <cp:lastModifiedBy/>
  <dcterms:modified xsi:type="dcterms:W3CDTF">2026-03-14T23:58:19Z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